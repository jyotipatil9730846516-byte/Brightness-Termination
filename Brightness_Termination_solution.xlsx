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NHA\Documents\TOP MENTOR\EXCEL\"/>
    </mc:Choice>
  </mc:AlternateContent>
  <xr:revisionPtr revIDLastSave="0" documentId="13_ncr:1_{7B5DF7DA-BE39-414A-A66A-7EFA59365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M2" i="1"/>
  <c r="R46" i="1" s="1"/>
  <c r="R47" i="1" s="1"/>
  <c r="R45" i="1"/>
  <c r="R23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3" i="1"/>
  <c r="R40" i="1"/>
  <c r="R36" i="1"/>
  <c r="R35" i="1"/>
  <c r="R34" i="1"/>
  <c r="R4" i="1"/>
  <c r="R20" i="1" s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R8" i="1" l="1"/>
  <c r="R15" i="1"/>
  <c r="R19" i="1"/>
  <c r="R24" i="1"/>
  <c r="R13" i="1"/>
  <c r="R17" i="1"/>
  <c r="R22" i="1"/>
  <c r="R14" i="1"/>
  <c r="R18" i="1"/>
  <c r="R12" i="1"/>
  <c r="R16" i="1"/>
  <c r="R21" i="1" l="1"/>
  <c r="R29" i="1"/>
</calcChain>
</file>

<file path=xl/sharedStrings.xml><?xml version="1.0" encoding="utf-8"?>
<sst xmlns="http://schemas.openxmlformats.org/spreadsheetml/2006/main" count="10444" uniqueCount="145">
  <si>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</si>
  <si>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</si>
  <si>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</si>
  <si>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</si>
  <si>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</si>
  <si>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</si>
  <si>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</si>
  <si>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</si>
  <si>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</si>
  <si>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</si>
  <si>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</si>
  <si>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</si>
  <si>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</si>
  <si>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</si>
  <si>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</si>
  <si>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</si>
  <si>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</si>
  <si>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</si>
  <si>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</si>
  <si>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</si>
  <si>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</si>
  <si>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</si>
  <si>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</si>
  <si>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</si>
  <si>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</si>
  <si>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</si>
  <si>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</si>
  <si>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</si>
  <si>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</si>
  <si>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</si>
  <si>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</si>
  <si>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</si>
  <si>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</si>
  <si>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</si>
  <si>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</si>
  <si>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</si>
  <si>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</si>
  <si>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</si>
  <si>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</si>
  <si>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</si>
  <si>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</si>
  <si>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</si>
  <si>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</si>
  <si>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</si>
  <si>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</si>
  <si>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</si>
  <si>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</si>
  <si>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</si>
  <si>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</si>
  <si>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</si>
  <si>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</si>
  <si>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</si>
  <si>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</si>
  <si>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</si>
  <si>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</si>
  <si>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</si>
  <si>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</si>
  <si>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</si>
  <si>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</si>
  <si>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</si>
  <si>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</si>
  <si>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</si>
  <si>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</si>
  <si>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</si>
  <si>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</si>
  <si>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</si>
  <si>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</si>
  <si>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</si>
  <si>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</si>
  <si>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</si>
  <si>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</si>
  <si>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</si>
  <si>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</si>
  <si>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</si>
  <si>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</si>
  <si>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</si>
  <si>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</si>
  <si>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</si>
  <si>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</si>
  <si>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</si>
  <si>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</si>
  <si>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</si>
  <si>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</si>
  <si>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</si>
  <si>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</si>
  <si>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</si>
  <si>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</si>
  <si>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</si>
  <si>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</si>
  <si>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</si>
  <si>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</si>
  <si>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</si>
  <si>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</si>
  <si>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</si>
  <si>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</si>
  <si>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</si>
  <si>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</si>
  <si>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</si>
  <si>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</si>
  <si>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</si>
  <si>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</si>
  <si>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</si>
  <si>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</si>
  <si>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</si>
  <si>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</si>
  <si>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</si>
  <si>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</si>
  <si>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</si>
  <si>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</si>
  <si>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</si>
  <si>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</si>
  <si>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</si>
  <si>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</si>
  <si>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</si>
  <si>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</si>
  <si>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</si>
  <si>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</si>
  <si>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</si>
  <si>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</si>
  <si>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</si>
  <si>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</si>
  <si>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</si>
  <si>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</si>
  <si>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</si>
  <si>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</si>
  <si>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</si>
  <si>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</si>
  <si>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</si>
  <si>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</si>
  <si>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</si>
  <si>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</si>
  <si>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</si>
  <si>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</si>
  <si>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</si>
  <si>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</si>
  <si>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</si>
  <si>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</si>
  <si>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</si>
  <si>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</si>
  <si>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</si>
  <si>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</si>
  <si>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Projection termination of 2021 = Terminations of 2020 + (Terminations of 2020*7%)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</si>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</sst>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0" fontId="4" fillId="0" borderId="0" xfId="0" applyFont="1" applyAlignment="1">
      <alignment vertic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5" fillId="0" borderId="0" xfId="0" applyFont="1" applyAlignment="1">
      <alignment horizontal="left" vertical="center" indent="10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0" fontId="1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6"/>
  <sheetViews>
    <sheetView tabSelected="1" topLeftCell="F19" zoomScale="70" zoomScaleNormal="70" workbookViewId="0">
      <selection activeCell="K40" sqref="K40"/>
    </sheetView>
  </sheetViews>
  <sheetFormatPr defaultRowHeight="14.4" x14ac:dyDescent="0.3"/>
  <cols>
    <col min="1" max="1" width="11.6640625" style="8" bestFit="1" customWidth="1"/>
    <col min="2" max="2" width="16.21875" customWidth="1"/>
    <col min="3" max="3" width="28.44140625" customWidth="1"/>
    <col min="4" max="4" width="27.6640625" customWidth="1"/>
    <col min="5" max="5" width="21.77734375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9.44140625" customWidth="1"/>
    <col min="10" max="10" width="12.88671875" bestFit="1" customWidth="1"/>
    <col min="11" max="11" width="11.33203125" bestFit="1" customWidth="1"/>
    <col min="12" max="12" width="25.6640625" customWidth="1"/>
    <col min="13" max="13" width="20" customWidth="1"/>
    <col min="14" max="14" width="19.88671875" customWidth="1"/>
    <col min="15" max="15" width="5.44140625" customWidth="1"/>
    <col min="16" max="16" width="8.88671875" style="19"/>
    <col min="17" max="17" width="31.5546875" customWidth="1"/>
    <col min="18" max="18" width="26.21875" bestFit="1" customWidth="1"/>
  </cols>
  <sheetData>
    <row r="1" spans="1:21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P1" s="19" t="s">
        <v>119</v>
      </c>
      <c r="Q1"/>
      <c r="R1"/>
    </row>
    <row r="2" spans="1:21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>
        <f>IF(D2&lt;=5,"NEWCOMER",IF(D2&gt;10,"EXPERT"))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IF(OR(L2="Resignation", L2="Retirement"), "Voluntary", IF(L2="Layoff", "Involuntary", "Other"))</f>
        <v>Voluntary</v>
      </c>
      <c r="N2" s="4" t="s">
        <v>20</v>
      </c>
    </row>
    <row r="3" spans="1:21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>
        <f t="shared" ref="E3:E66" si="1">IF(D3&lt;=5,"NEWCOMER",IF(D3&gt;10,"EXPERT"))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>IF(OR(L3="Resignation", L3="Retirement"), "Voluntary", IF(L3="Layoff", "Involuntary", "Other"))</f>
        <v>Voluntary</v>
      </c>
      <c r="N3" s="4" t="s">
        <v>26</v>
      </c>
      <c r="P3" s="19" t="s">
        <v>120</v>
      </c>
    </row>
    <row r="4" spans="1:21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>
        <f t="shared" si="1"/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ref="M4:M67" si="2">IF(OR(L4="Resignation", L4="Retirement"), "Voluntary", IF(L4="Layoff", "Involuntary", "Other"))</f>
        <v>Voluntary</v>
      </c>
      <c r="N4" s="4" t="s">
        <v>26</v>
      </c>
      <c r="Q4" t="s">
        <v>122</v>
      </c>
      <c r="R4" s="12">
        <f>COUNTIFS(C2:C1485,"&gt;="&amp;DATE(2020,1,1),C2:C1485,"&lt;="&amp;DATE(2020,12,31))</f>
        <v>1484</v>
      </c>
    </row>
    <row r="5" spans="1:21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>
        <f t="shared" si="1"/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2"/>
        <v>Voluntary</v>
      </c>
      <c r="N5" s="4" t="s">
        <v>20</v>
      </c>
      <c r="R5" s="8"/>
      <c r="T5" s="24" t="s">
        <v>142</v>
      </c>
    </row>
    <row r="6" spans="1:21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>
        <f t="shared" si="1"/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 t="shared" si="2"/>
        <v>Voluntary</v>
      </c>
      <c r="N6" s="4" t="s">
        <v>26</v>
      </c>
      <c r="P6" s="19" t="s">
        <v>121</v>
      </c>
      <c r="R6" s="8"/>
      <c r="T6" s="24" t="s">
        <v>143</v>
      </c>
    </row>
    <row r="7" spans="1:21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>
        <f t="shared" si="1"/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si="2"/>
        <v>Voluntary</v>
      </c>
      <c r="N7" s="4" t="s">
        <v>20</v>
      </c>
      <c r="Q7" t="s">
        <v>123</v>
      </c>
      <c r="R7" s="11">
        <v>7.0000000000000007E-2</v>
      </c>
      <c r="T7" s="24" t="s">
        <v>144</v>
      </c>
    </row>
    <row r="8" spans="1:21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>
        <f t="shared" si="1"/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  <c r="Q8" t="s">
        <v>124</v>
      </c>
      <c r="R8" s="20">
        <f>R4+(R4*R7)</f>
        <v>1587.88</v>
      </c>
    </row>
    <row r="9" spans="1:21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>
        <f t="shared" si="1"/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21" ht="15" thickBot="1" x14ac:dyDescent="0.35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>
        <f t="shared" si="1"/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  <c r="P10" s="19" t="s">
        <v>125</v>
      </c>
    </row>
    <row r="11" spans="1:21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>
        <f t="shared" si="1"/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  <c r="Q11" s="14" t="s">
        <v>126</v>
      </c>
      <c r="R11" s="15" t="s">
        <v>127</v>
      </c>
      <c r="U11" s="21" t="s">
        <v>141</v>
      </c>
    </row>
    <row r="12" spans="1:21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>
        <f t="shared" si="1"/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  <c r="Q12" s="17">
        <v>0.04</v>
      </c>
      <c r="R12" s="22">
        <f>R4+(R4*Q12)</f>
        <v>1543.36</v>
      </c>
    </row>
    <row r="13" spans="1:21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b">
        <f t="shared" si="1"/>
        <v>0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  <c r="Q13" s="17">
        <v>4.4999999999999998E-2</v>
      </c>
      <c r="R13" s="22">
        <f>R4+(R4*Q13)</f>
        <v>1550.78</v>
      </c>
    </row>
    <row r="14" spans="1:21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>
        <f t="shared" si="1"/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  <c r="Q14" s="17">
        <v>0.05</v>
      </c>
      <c r="R14" s="22">
        <f>R4+(R4*Q14)</f>
        <v>1558.2</v>
      </c>
    </row>
    <row r="15" spans="1:21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>
        <f t="shared" si="1"/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  <c r="Q15" s="17">
        <v>5.5E-2</v>
      </c>
      <c r="R15" s="22">
        <f>R4+(R4*Q15)</f>
        <v>1565.62</v>
      </c>
    </row>
    <row r="16" spans="1:21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>
        <f t="shared" si="1"/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  <c r="Q16" s="17">
        <v>0.06</v>
      </c>
      <c r="R16" s="22">
        <f>R4+(R4*Q16)</f>
        <v>1573.04</v>
      </c>
    </row>
    <row r="17" spans="1:18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>
        <f t="shared" si="1"/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  <c r="Q17" s="17">
        <v>6.5000000000000002E-2</v>
      </c>
      <c r="R17" s="22">
        <f>R4+(R4*Q17)</f>
        <v>1580.46</v>
      </c>
    </row>
    <row r="18" spans="1:18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>
        <f t="shared" si="1"/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  <c r="Q18" s="17">
        <v>7.0000000000000007E-2</v>
      </c>
      <c r="R18" s="22">
        <f>R4+(R4*Q18)</f>
        <v>1587.88</v>
      </c>
    </row>
    <row r="19" spans="1:18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>
        <f t="shared" si="1"/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  <c r="Q19" s="17">
        <v>7.4999999999999997E-2</v>
      </c>
      <c r="R19" s="22">
        <f>R4+(R4*Q19)</f>
        <v>1595.3</v>
      </c>
    </row>
    <row r="20" spans="1:18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>
        <f t="shared" si="1"/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Voluntary</v>
      </c>
      <c r="N20" s="4" t="s">
        <v>26</v>
      </c>
      <c r="Q20" s="17">
        <v>0.08</v>
      </c>
      <c r="R20" s="22">
        <f>R4+(R4*Q20)</f>
        <v>1602.72</v>
      </c>
    </row>
    <row r="21" spans="1:18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>
        <f t="shared" si="1"/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  <c r="Q21" s="17">
        <v>8.5000000000000006E-2</v>
      </c>
      <c r="R21" s="22">
        <f t="shared" ref="R21" si="3">R13+(R13*Q21)</f>
        <v>1682.5962999999999</v>
      </c>
    </row>
    <row r="22" spans="1:18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>
        <f t="shared" si="1"/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  <c r="Q22" s="17">
        <v>0.09</v>
      </c>
      <c r="R22" s="22">
        <f>R4+(R4*Q22)</f>
        <v>1617.56</v>
      </c>
    </row>
    <row r="23" spans="1:18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>
        <f t="shared" si="1"/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  <c r="Q23" s="17">
        <v>9.5000000000000001E-2</v>
      </c>
      <c r="R23" s="22">
        <f>R4+(R4*Q23)</f>
        <v>1624.98</v>
      </c>
    </row>
    <row r="24" spans="1:18" ht="15" thickBot="1" x14ac:dyDescent="0.35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>
        <f t="shared" si="1"/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  <c r="Q24" s="16">
        <v>0.1</v>
      </c>
      <c r="R24" s="22">
        <f>R4+(R4*Q24)</f>
        <v>1632.4</v>
      </c>
    </row>
    <row r="25" spans="1:18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>
        <f t="shared" si="1"/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8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>
        <f t="shared" si="1"/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  <c r="P26" s="19" t="s">
        <v>128</v>
      </c>
    </row>
    <row r="27" spans="1:18" ht="15" thickBot="1" x14ac:dyDescent="0.35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>
        <f t="shared" si="1"/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  <c r="Q27" t="s">
        <v>129</v>
      </c>
    </row>
    <row r="28" spans="1:18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>
        <f t="shared" si="1"/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  <c r="Q28" s="14" t="s">
        <v>126</v>
      </c>
      <c r="R28" s="15" t="s">
        <v>127</v>
      </c>
    </row>
    <row r="29" spans="1:18" ht="15" thickBot="1" x14ac:dyDescent="0.35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>
        <f t="shared" si="1"/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  <c r="Q29" s="16">
        <v>4.4999999999999998E-2</v>
      </c>
      <c r="R29" s="23">
        <f>R13</f>
        <v>1550.78</v>
      </c>
    </row>
    <row r="30" spans="1:18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>
        <f t="shared" si="1"/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8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>
        <f t="shared" si="1"/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  <c r="P31" s="19" t="s">
        <v>130</v>
      </c>
    </row>
    <row r="32" spans="1:18" ht="15" thickBot="1" x14ac:dyDescent="0.35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>
        <f t="shared" si="1"/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  <c r="Q32" s="10" t="s">
        <v>122</v>
      </c>
    </row>
    <row r="33" spans="1:18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>
        <f t="shared" si="1"/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  <c r="Q33" s="14" t="s">
        <v>131</v>
      </c>
      <c r="R33" s="15" t="s">
        <v>132</v>
      </c>
    </row>
    <row r="34" spans="1:18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>
        <f t="shared" si="1"/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  <c r="Q34" s="4" t="s">
        <v>19</v>
      </c>
      <c r="R34" s="13">
        <f>COUNTIF(L2:L1485,Q34)</f>
        <v>392</v>
      </c>
    </row>
    <row r="35" spans="1:18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>
        <f t="shared" si="1"/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  <c r="Q35" s="4" t="s">
        <v>50</v>
      </c>
      <c r="R35" s="13">
        <f>COUNTIF(L2:L1485,Q35)</f>
        <v>385</v>
      </c>
    </row>
    <row r="36" spans="1:18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>
        <f t="shared" si="1"/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  <c r="Q36" s="4" t="s">
        <v>96</v>
      </c>
      <c r="R36" s="13">
        <f>COUNTIF(L2:L1485,Q36)</f>
        <v>707</v>
      </c>
    </row>
    <row r="37" spans="1:18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>
        <f t="shared" si="1"/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8" ht="15" thickBot="1" x14ac:dyDescent="0.35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b">
        <f t="shared" si="1"/>
        <v>0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  <c r="Q38" s="18" t="s">
        <v>133</v>
      </c>
    </row>
    <row r="39" spans="1:18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>
        <f t="shared" si="1"/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  <c r="Q39" s="14" t="s">
        <v>131</v>
      </c>
      <c r="R39" s="15" t="s">
        <v>132</v>
      </c>
    </row>
    <row r="40" spans="1:18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>
        <f t="shared" si="1"/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  <c r="Q40" s="4" t="s">
        <v>96</v>
      </c>
      <c r="R40" s="13">
        <f>COUNTIF(L6:L1489,Q40)</f>
        <v>708</v>
      </c>
    </row>
    <row r="41" spans="1:18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>
        <f t="shared" si="1"/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8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b">
        <f t="shared" si="1"/>
        <v>0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  <c r="P42" s="19" t="s">
        <v>134</v>
      </c>
      <c r="Q42" s="25" t="s">
        <v>135</v>
      </c>
      <c r="R42" s="25"/>
    </row>
    <row r="43" spans="1:18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>
        <f t="shared" si="1"/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  <c r="Q43" s="25"/>
      <c r="R43" s="25"/>
    </row>
    <row r="44" spans="1:18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>
        <f t="shared" si="1"/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  <c r="Q44" s="25" t="s">
        <v>136</v>
      </c>
      <c r="R44" s="25"/>
    </row>
    <row r="45" spans="1:18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>
        <f t="shared" si="1"/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  <c r="Q45" s="25" t="s">
        <v>137</v>
      </c>
      <c r="R45" s="26">
        <f>R4</f>
        <v>1484</v>
      </c>
    </row>
    <row r="46" spans="1:18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>
        <f t="shared" si="1"/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  <c r="Q46" s="25" t="s">
        <v>138</v>
      </c>
      <c r="R46" s="4">
        <f>COUNTIF(M2:M1485, "Voluntary")</f>
        <v>777</v>
      </c>
    </row>
    <row r="47" spans="1:18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>
        <f t="shared" si="1"/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  <c r="Q47" s="27" t="s">
        <v>139</v>
      </c>
      <c r="R47" s="28">
        <f>R46/R45</f>
        <v>0.52358490566037741</v>
      </c>
    </row>
    <row r="48" spans="1:18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>
        <f t="shared" si="1"/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6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>
        <f t="shared" si="1"/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  <c r="P49" s="19" t="s">
        <v>140</v>
      </c>
    </row>
    <row r="50" spans="1:16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>
        <f t="shared" si="1"/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6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>
        <f t="shared" si="1"/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6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b">
        <f t="shared" si="1"/>
        <v>0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6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>
        <f t="shared" si="1"/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6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>
        <f t="shared" si="1"/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6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>
        <f t="shared" si="1"/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6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>
        <f t="shared" si="1"/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6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>
        <f t="shared" si="1"/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6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b">
        <f t="shared" si="1"/>
        <v>0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6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>
        <f t="shared" si="1"/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6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>
        <f t="shared" si="1"/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6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b">
        <f t="shared" si="1"/>
        <v>0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6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>
        <f t="shared" si="1"/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6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b">
        <f t="shared" si="1"/>
        <v>0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6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>
        <f t="shared" si="1"/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b">
        <f t="shared" si="1"/>
        <v>0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>
        <f t="shared" si="1"/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4">YEAR(C67)-YEAR(B67)</f>
        <v>11</v>
      </c>
      <c r="E67" s="6" t="str">
        <f t="shared" ref="E67:E130" si="5">IF(D67&lt;=5,"NEWCOMER",IF(D67&gt;10,"EXPERT"))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si="2"/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4"/>
        <v>22</v>
      </c>
      <c r="E68" s="6" t="str">
        <f t="shared" si="5"/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ref="M68:M131" si="6">IF(OR(L68="Resignation", L68="Retirement"), "Voluntary", IF(L68="Layoff", "Involuntary", "Other"))</f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4"/>
        <v>20</v>
      </c>
      <c r="E69" s="6" t="str">
        <f t="shared" si="5"/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6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4"/>
        <v>19</v>
      </c>
      <c r="E70" s="6" t="str">
        <f t="shared" si="5"/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6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4"/>
        <v>11</v>
      </c>
      <c r="E71" s="6" t="str">
        <f t="shared" si="5"/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si="6"/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4"/>
        <v>25</v>
      </c>
      <c r="E72" s="6" t="str">
        <f t="shared" si="5"/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6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4"/>
        <v>5</v>
      </c>
      <c r="E73" s="6" t="str">
        <f t="shared" si="5"/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6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4"/>
        <v>29</v>
      </c>
      <c r="E74" s="6" t="str">
        <f t="shared" si="5"/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6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4"/>
        <v>28</v>
      </c>
      <c r="E75" s="6" t="str">
        <f t="shared" si="5"/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6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4"/>
        <v>15</v>
      </c>
      <c r="E76" s="6" t="str">
        <f t="shared" si="5"/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6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4"/>
        <v>21</v>
      </c>
      <c r="E77" s="6" t="str">
        <f t="shared" si="5"/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6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4"/>
        <v>14</v>
      </c>
      <c r="E78" s="6" t="str">
        <f t="shared" si="5"/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6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4"/>
        <v>17</v>
      </c>
      <c r="E79" s="6" t="str">
        <f t="shared" si="5"/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6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4"/>
        <v>15</v>
      </c>
      <c r="E80" s="6" t="str">
        <f t="shared" si="5"/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6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4"/>
        <v>22</v>
      </c>
      <c r="E81" s="6" t="str">
        <f t="shared" si="5"/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6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4"/>
        <v>12</v>
      </c>
      <c r="E82" s="6" t="str">
        <f t="shared" si="5"/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6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4"/>
        <v>10</v>
      </c>
      <c r="E83" s="6" t="b">
        <f t="shared" si="5"/>
        <v>0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6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4"/>
        <v>20</v>
      </c>
      <c r="E84" s="6" t="str">
        <f t="shared" si="5"/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6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4"/>
        <v>16</v>
      </c>
      <c r="E85" s="6" t="str">
        <f t="shared" si="5"/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6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4"/>
        <v>20</v>
      </c>
      <c r="E86" s="6" t="str">
        <f t="shared" si="5"/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6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4"/>
        <v>14</v>
      </c>
      <c r="E87" s="6" t="str">
        <f t="shared" si="5"/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6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4"/>
        <v>30</v>
      </c>
      <c r="E88" s="6" t="str">
        <f t="shared" si="5"/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6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4"/>
        <v>11</v>
      </c>
      <c r="E89" s="6" t="str">
        <f t="shared" si="5"/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6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4"/>
        <v>27</v>
      </c>
      <c r="E90" s="6" t="str">
        <f t="shared" si="5"/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6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4"/>
        <v>28</v>
      </c>
      <c r="E91" s="6" t="str">
        <f t="shared" si="5"/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6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4"/>
        <v>22</v>
      </c>
      <c r="E92" s="6" t="str">
        <f t="shared" si="5"/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6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4"/>
        <v>21</v>
      </c>
      <c r="E93" s="6" t="str">
        <f t="shared" si="5"/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6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4"/>
        <v>30</v>
      </c>
      <c r="E94" s="6" t="str">
        <f t="shared" si="5"/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6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4"/>
        <v>9</v>
      </c>
      <c r="E95" s="6" t="b">
        <f t="shared" si="5"/>
        <v>0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6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4"/>
        <v>10</v>
      </c>
      <c r="E96" s="6" t="b">
        <f t="shared" si="5"/>
        <v>0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6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4"/>
        <v>7</v>
      </c>
      <c r="E97" s="6" t="b">
        <f t="shared" si="5"/>
        <v>0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6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4"/>
        <v>22</v>
      </c>
      <c r="E98" s="6" t="str">
        <f t="shared" si="5"/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6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4"/>
        <v>16</v>
      </c>
      <c r="E99" s="6" t="str">
        <f t="shared" si="5"/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6"/>
        <v>Voluntary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4"/>
        <v>16</v>
      </c>
      <c r="E100" s="6" t="str">
        <f t="shared" si="5"/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6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4"/>
        <v>21</v>
      </c>
      <c r="E101" s="6" t="str">
        <f t="shared" si="5"/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6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4"/>
        <v>12</v>
      </c>
      <c r="E102" s="6" t="str">
        <f t="shared" si="5"/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6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4"/>
        <v>29</v>
      </c>
      <c r="E103" s="6" t="str">
        <f t="shared" si="5"/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6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4"/>
        <v>21</v>
      </c>
      <c r="E104" s="6" t="str">
        <f t="shared" si="5"/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6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4"/>
        <v>20</v>
      </c>
      <c r="E105" s="6" t="str">
        <f t="shared" si="5"/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6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4"/>
        <v>28</v>
      </c>
      <c r="E106" s="6" t="str">
        <f t="shared" si="5"/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6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4"/>
        <v>12</v>
      </c>
      <c r="E107" s="6" t="str">
        <f t="shared" si="5"/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6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4"/>
        <v>14</v>
      </c>
      <c r="E108" s="6" t="str">
        <f t="shared" si="5"/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6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4"/>
        <v>12</v>
      </c>
      <c r="E109" s="6" t="str">
        <f t="shared" si="5"/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6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4"/>
        <v>22</v>
      </c>
      <c r="E110" s="6" t="str">
        <f t="shared" si="5"/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6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4"/>
        <v>19</v>
      </c>
      <c r="E111" s="6" t="str">
        <f t="shared" si="5"/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6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4"/>
        <v>25</v>
      </c>
      <c r="E112" s="6" t="str">
        <f t="shared" si="5"/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6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4"/>
        <v>16</v>
      </c>
      <c r="E113" s="6" t="str">
        <f t="shared" si="5"/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6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4"/>
        <v>23</v>
      </c>
      <c r="E114" s="6" t="str">
        <f t="shared" si="5"/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6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4"/>
        <v>24</v>
      </c>
      <c r="E115" s="6" t="str">
        <f t="shared" si="5"/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6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4"/>
        <v>13</v>
      </c>
      <c r="E116" s="6" t="str">
        <f t="shared" si="5"/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6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4"/>
        <v>10</v>
      </c>
      <c r="E117" s="6" t="b">
        <f t="shared" si="5"/>
        <v>0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6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4"/>
        <v>14</v>
      </c>
      <c r="E118" s="6" t="str">
        <f t="shared" si="5"/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6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4"/>
        <v>22</v>
      </c>
      <c r="E119" s="6" t="str">
        <f t="shared" si="5"/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6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4"/>
        <v>26</v>
      </c>
      <c r="E120" s="6" t="str">
        <f t="shared" si="5"/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6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4"/>
        <v>21</v>
      </c>
      <c r="E121" s="6" t="str">
        <f t="shared" si="5"/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6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4"/>
        <v>12</v>
      </c>
      <c r="E122" s="6" t="str">
        <f t="shared" si="5"/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6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4"/>
        <v>30</v>
      </c>
      <c r="E123" s="6" t="str">
        <f t="shared" si="5"/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6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4"/>
        <v>18</v>
      </c>
      <c r="E124" s="6" t="str">
        <f t="shared" si="5"/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6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4"/>
        <v>22</v>
      </c>
      <c r="E125" s="6" t="str">
        <f t="shared" si="5"/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6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4"/>
        <v>29</v>
      </c>
      <c r="E126" s="6" t="str">
        <f t="shared" si="5"/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6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4"/>
        <v>26</v>
      </c>
      <c r="E127" s="6" t="str">
        <f t="shared" si="5"/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6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4"/>
        <v>20</v>
      </c>
      <c r="E128" s="6" t="str">
        <f t="shared" si="5"/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6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4"/>
        <v>16</v>
      </c>
      <c r="E129" s="6" t="str">
        <f t="shared" si="5"/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6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4"/>
        <v>20</v>
      </c>
      <c r="E130" s="6" t="str">
        <f t="shared" si="5"/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6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7">YEAR(C131)-YEAR(B131)</f>
        <v>30</v>
      </c>
      <c r="E131" s="6" t="str">
        <f t="shared" ref="E131:E194" si="8">IF(D131&lt;=5,"NEWCOMER",IF(D131&gt;10,"EXPERT"))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si="6"/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7"/>
        <v>5</v>
      </c>
      <c r="E132" s="6" t="str">
        <f t="shared" si="8"/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ref="M132:M195" si="9">IF(OR(L132="Resignation", L132="Retirement"), "Voluntary", IF(L132="Layoff", "Involuntary", "Other"))</f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7"/>
        <v>15</v>
      </c>
      <c r="E133" s="6" t="str">
        <f t="shared" si="8"/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9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7"/>
        <v>5</v>
      </c>
      <c r="E134" s="6" t="str">
        <f t="shared" si="8"/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9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7"/>
        <v>19</v>
      </c>
      <c r="E135" s="6" t="str">
        <f t="shared" si="8"/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si="9"/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7"/>
        <v>8</v>
      </c>
      <c r="E136" s="6" t="b">
        <f t="shared" si="8"/>
        <v>0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9"/>
        <v>Involuntary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7"/>
        <v>6</v>
      </c>
      <c r="E137" s="6" t="b">
        <f t="shared" si="8"/>
        <v>0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9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7"/>
        <v>26</v>
      </c>
      <c r="E138" s="6" t="str">
        <f t="shared" si="8"/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9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7"/>
        <v>21</v>
      </c>
      <c r="E139" s="6" t="str">
        <f t="shared" si="8"/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9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7"/>
        <v>11</v>
      </c>
      <c r="E140" s="6" t="str">
        <f t="shared" si="8"/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9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7"/>
        <v>16</v>
      </c>
      <c r="E141" s="6" t="str">
        <f t="shared" si="8"/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9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7"/>
        <v>21</v>
      </c>
      <c r="E142" s="6" t="str">
        <f t="shared" si="8"/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9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7"/>
        <v>12</v>
      </c>
      <c r="E143" s="6" t="str">
        <f t="shared" si="8"/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9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7"/>
        <v>22</v>
      </c>
      <c r="E144" s="6" t="str">
        <f t="shared" si="8"/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9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7"/>
        <v>30</v>
      </c>
      <c r="E145" s="6" t="str">
        <f t="shared" si="8"/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9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7"/>
        <v>13</v>
      </c>
      <c r="E146" s="6" t="str">
        <f t="shared" si="8"/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9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7"/>
        <v>30</v>
      </c>
      <c r="E147" s="6" t="str">
        <f t="shared" si="8"/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9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7"/>
        <v>5</v>
      </c>
      <c r="E148" s="6" t="str">
        <f t="shared" si="8"/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9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7"/>
        <v>19</v>
      </c>
      <c r="E149" s="6" t="str">
        <f t="shared" si="8"/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9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7"/>
        <v>8</v>
      </c>
      <c r="E150" s="6" t="b">
        <f t="shared" si="8"/>
        <v>0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9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7"/>
        <v>20</v>
      </c>
      <c r="E151" s="6" t="str">
        <f t="shared" si="8"/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9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7"/>
        <v>18</v>
      </c>
      <c r="E152" s="6" t="str">
        <f t="shared" si="8"/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9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7"/>
        <v>15</v>
      </c>
      <c r="E153" s="6" t="str">
        <f t="shared" si="8"/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9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7"/>
        <v>8</v>
      </c>
      <c r="E154" s="6" t="b">
        <f t="shared" si="8"/>
        <v>0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9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7"/>
        <v>5</v>
      </c>
      <c r="E155" s="6" t="str">
        <f t="shared" si="8"/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9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7"/>
        <v>20</v>
      </c>
      <c r="E156" s="6" t="str">
        <f t="shared" si="8"/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9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7"/>
        <v>23</v>
      </c>
      <c r="E157" s="6" t="str">
        <f t="shared" si="8"/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9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7"/>
        <v>14</v>
      </c>
      <c r="E158" s="6" t="str">
        <f t="shared" si="8"/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9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7"/>
        <v>14</v>
      </c>
      <c r="E159" s="6" t="str">
        <f t="shared" si="8"/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9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7"/>
        <v>19</v>
      </c>
      <c r="E160" s="6" t="str">
        <f t="shared" si="8"/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9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7"/>
        <v>6</v>
      </c>
      <c r="E161" s="6" t="b">
        <f t="shared" si="8"/>
        <v>0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9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7"/>
        <v>19</v>
      </c>
      <c r="E162" s="6" t="str">
        <f t="shared" si="8"/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9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7"/>
        <v>28</v>
      </c>
      <c r="E163" s="6" t="str">
        <f t="shared" si="8"/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9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7"/>
        <v>9</v>
      </c>
      <c r="E164" s="6" t="b">
        <f t="shared" si="8"/>
        <v>0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9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7"/>
        <v>22</v>
      </c>
      <c r="E165" s="6" t="str">
        <f t="shared" si="8"/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9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7"/>
        <v>24</v>
      </c>
      <c r="E166" s="6" t="str">
        <f t="shared" si="8"/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9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7"/>
        <v>21</v>
      </c>
      <c r="E167" s="6" t="str">
        <f t="shared" si="8"/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9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7"/>
        <v>5</v>
      </c>
      <c r="E168" s="6" t="str">
        <f t="shared" si="8"/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9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7"/>
        <v>19</v>
      </c>
      <c r="E169" s="6" t="str">
        <f t="shared" si="8"/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9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7"/>
        <v>17</v>
      </c>
      <c r="E170" s="6" t="str">
        <f t="shared" si="8"/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9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7"/>
        <v>27</v>
      </c>
      <c r="E171" s="6" t="str">
        <f t="shared" si="8"/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9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7"/>
        <v>10</v>
      </c>
      <c r="E172" s="6" t="b">
        <f t="shared" si="8"/>
        <v>0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9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7"/>
        <v>9</v>
      </c>
      <c r="E173" s="6" t="b">
        <f t="shared" si="8"/>
        <v>0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9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7"/>
        <v>5</v>
      </c>
      <c r="E174" s="6" t="str">
        <f t="shared" si="8"/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9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7"/>
        <v>13</v>
      </c>
      <c r="E175" s="6" t="str">
        <f t="shared" si="8"/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9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7"/>
        <v>24</v>
      </c>
      <c r="E176" s="6" t="str">
        <f t="shared" si="8"/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9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7"/>
        <v>17</v>
      </c>
      <c r="E177" s="6" t="str">
        <f t="shared" si="8"/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9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7"/>
        <v>14</v>
      </c>
      <c r="E178" s="6" t="str">
        <f t="shared" si="8"/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9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7"/>
        <v>11</v>
      </c>
      <c r="E179" s="6" t="str">
        <f t="shared" si="8"/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9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7"/>
        <v>11</v>
      </c>
      <c r="E180" s="6" t="str">
        <f t="shared" si="8"/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9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7"/>
        <v>12</v>
      </c>
      <c r="E181" s="6" t="str">
        <f t="shared" si="8"/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9"/>
        <v>Involuntary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7"/>
        <v>23</v>
      </c>
      <c r="E182" s="6" t="str">
        <f t="shared" si="8"/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9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7"/>
        <v>8</v>
      </c>
      <c r="E183" s="6" t="b">
        <f t="shared" si="8"/>
        <v>0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9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7"/>
        <v>22</v>
      </c>
      <c r="E184" s="6" t="str">
        <f t="shared" si="8"/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9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7"/>
        <v>15</v>
      </c>
      <c r="E185" s="6" t="str">
        <f t="shared" si="8"/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9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7"/>
        <v>19</v>
      </c>
      <c r="E186" s="6" t="str">
        <f t="shared" si="8"/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9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7"/>
        <v>29</v>
      </c>
      <c r="E187" s="6" t="str">
        <f t="shared" si="8"/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9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7"/>
        <v>17</v>
      </c>
      <c r="E188" s="6" t="str">
        <f t="shared" si="8"/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9"/>
        <v>Voluntary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7"/>
        <v>11</v>
      </c>
      <c r="E189" s="6" t="str">
        <f t="shared" si="8"/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9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7"/>
        <v>8</v>
      </c>
      <c r="E190" s="6" t="b">
        <f t="shared" si="8"/>
        <v>0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9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7"/>
        <v>26</v>
      </c>
      <c r="E191" s="6" t="str">
        <f t="shared" si="8"/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9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7"/>
        <v>21</v>
      </c>
      <c r="E192" s="6" t="str">
        <f t="shared" si="8"/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9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7"/>
        <v>29</v>
      </c>
      <c r="E193" s="6" t="str">
        <f t="shared" si="8"/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9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7"/>
        <v>20</v>
      </c>
      <c r="E194" s="6" t="str">
        <f t="shared" si="8"/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9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10">YEAR(C195)-YEAR(B195)</f>
        <v>15</v>
      </c>
      <c r="E195" s="6" t="str">
        <f t="shared" ref="E195:E258" si="11">IF(D195&lt;=5,"NEWCOMER",IF(D195&gt;10,"EXPERT"))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si="9"/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10"/>
        <v>25</v>
      </c>
      <c r="E196" s="6" t="str">
        <f t="shared" si="11"/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ref="M196:M259" si="12">IF(OR(L196="Resignation", L196="Retirement"), "Voluntary", IF(L196="Layoff", "Involuntary", "Other"))</f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10"/>
        <v>7</v>
      </c>
      <c r="E197" s="6" t="b">
        <f t="shared" si="11"/>
        <v>0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12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10"/>
        <v>23</v>
      </c>
      <c r="E198" s="6" t="str">
        <f t="shared" si="11"/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12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10"/>
        <v>27</v>
      </c>
      <c r="E199" s="6" t="str">
        <f t="shared" si="11"/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si="12"/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10"/>
        <v>12</v>
      </c>
      <c r="E200" s="6" t="str">
        <f t="shared" si="11"/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12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10"/>
        <v>5</v>
      </c>
      <c r="E201" s="6" t="str">
        <f t="shared" si="11"/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12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10"/>
        <v>26</v>
      </c>
      <c r="E202" s="6" t="str">
        <f t="shared" si="11"/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12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10"/>
        <v>15</v>
      </c>
      <c r="E203" s="6" t="str">
        <f t="shared" si="11"/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12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10"/>
        <v>29</v>
      </c>
      <c r="E204" s="6" t="str">
        <f t="shared" si="11"/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12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10"/>
        <v>20</v>
      </c>
      <c r="E205" s="6" t="str">
        <f t="shared" si="11"/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12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10"/>
        <v>25</v>
      </c>
      <c r="E206" s="6" t="str">
        <f t="shared" si="11"/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12"/>
        <v>Voluntary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10"/>
        <v>24</v>
      </c>
      <c r="E207" s="6" t="str">
        <f t="shared" si="11"/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12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10"/>
        <v>21</v>
      </c>
      <c r="E208" s="6" t="str">
        <f t="shared" si="11"/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12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10"/>
        <v>25</v>
      </c>
      <c r="E209" s="6" t="str">
        <f t="shared" si="11"/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12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10"/>
        <v>27</v>
      </c>
      <c r="E210" s="6" t="str">
        <f t="shared" si="11"/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12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10"/>
        <v>21</v>
      </c>
      <c r="E211" s="6" t="str">
        <f t="shared" si="11"/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12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10"/>
        <v>20</v>
      </c>
      <c r="E212" s="6" t="str">
        <f t="shared" si="11"/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12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10"/>
        <v>15</v>
      </c>
      <c r="E213" s="6" t="str">
        <f t="shared" si="11"/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12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10"/>
        <v>23</v>
      </c>
      <c r="E214" s="6" t="str">
        <f t="shared" si="11"/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12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10"/>
        <v>26</v>
      </c>
      <c r="E215" s="6" t="str">
        <f t="shared" si="11"/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12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10"/>
        <v>18</v>
      </c>
      <c r="E216" s="6" t="str">
        <f t="shared" si="11"/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12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10"/>
        <v>28</v>
      </c>
      <c r="E217" s="6" t="str">
        <f t="shared" si="11"/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12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10"/>
        <v>24</v>
      </c>
      <c r="E218" s="6" t="str">
        <f t="shared" si="11"/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12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10"/>
        <v>7</v>
      </c>
      <c r="E219" s="6" t="b">
        <f t="shared" si="11"/>
        <v>0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12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10"/>
        <v>15</v>
      </c>
      <c r="E220" s="6" t="str">
        <f t="shared" si="11"/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12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10"/>
        <v>26</v>
      </c>
      <c r="E221" s="6" t="str">
        <f t="shared" si="11"/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12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10"/>
        <v>27</v>
      </c>
      <c r="E222" s="6" t="str">
        <f t="shared" si="11"/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12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10"/>
        <v>6</v>
      </c>
      <c r="E223" s="6" t="b">
        <f t="shared" si="11"/>
        <v>0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12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10"/>
        <v>17</v>
      </c>
      <c r="E224" s="6" t="str">
        <f t="shared" si="11"/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12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10"/>
        <v>16</v>
      </c>
      <c r="E225" s="6" t="str">
        <f t="shared" si="11"/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12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10"/>
        <v>8</v>
      </c>
      <c r="E226" s="6" t="b">
        <f t="shared" si="11"/>
        <v>0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12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10"/>
        <v>15</v>
      </c>
      <c r="E227" s="6" t="str">
        <f t="shared" si="11"/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12"/>
        <v>Involuntary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10"/>
        <v>21</v>
      </c>
      <c r="E228" s="6" t="str">
        <f t="shared" si="11"/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12"/>
        <v>Involuntary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10"/>
        <v>25</v>
      </c>
      <c r="E229" s="6" t="str">
        <f t="shared" si="11"/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12"/>
        <v>Voluntary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10"/>
        <v>11</v>
      </c>
      <c r="E230" s="6" t="str">
        <f t="shared" si="11"/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12"/>
        <v>Involuntary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10"/>
        <v>24</v>
      </c>
      <c r="E231" s="6" t="str">
        <f t="shared" si="11"/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12"/>
        <v>Involuntary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10"/>
        <v>18</v>
      </c>
      <c r="E232" s="6" t="str">
        <f t="shared" si="11"/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12"/>
        <v>Involuntary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10"/>
        <v>17</v>
      </c>
      <c r="E233" s="6" t="str">
        <f t="shared" si="11"/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12"/>
        <v>Involuntary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10"/>
        <v>21</v>
      </c>
      <c r="E234" s="6" t="str">
        <f t="shared" si="11"/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12"/>
        <v>Involuntary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10"/>
        <v>11</v>
      </c>
      <c r="E235" s="6" t="str">
        <f t="shared" si="11"/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12"/>
        <v>Involuntary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10"/>
        <v>30</v>
      </c>
      <c r="E236" s="6" t="str">
        <f t="shared" si="11"/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12"/>
        <v>Involuntary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10"/>
        <v>13</v>
      </c>
      <c r="E237" s="6" t="str">
        <f t="shared" si="11"/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12"/>
        <v>Involuntary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10"/>
        <v>14</v>
      </c>
      <c r="E238" s="6" t="str">
        <f t="shared" si="11"/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12"/>
        <v>Involuntary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10"/>
        <v>30</v>
      </c>
      <c r="E239" s="6" t="str">
        <f t="shared" si="11"/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12"/>
        <v>Involuntary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10"/>
        <v>20</v>
      </c>
      <c r="E240" s="6" t="str">
        <f t="shared" si="11"/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12"/>
        <v>Involuntary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10"/>
        <v>25</v>
      </c>
      <c r="E241" s="6" t="str">
        <f t="shared" si="11"/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12"/>
        <v>Involuntary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10"/>
        <v>20</v>
      </c>
      <c r="E242" s="6" t="str">
        <f t="shared" si="11"/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12"/>
        <v>Involuntary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10"/>
        <v>8</v>
      </c>
      <c r="E243" s="6" t="b">
        <f t="shared" si="11"/>
        <v>0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12"/>
        <v>Voluntary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10"/>
        <v>29</v>
      </c>
      <c r="E244" s="6" t="str">
        <f t="shared" si="11"/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12"/>
        <v>Involuntary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10"/>
        <v>26</v>
      </c>
      <c r="E245" s="6" t="str">
        <f t="shared" si="11"/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12"/>
        <v>Voluntary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10"/>
        <v>12</v>
      </c>
      <c r="E246" s="6" t="str">
        <f t="shared" si="11"/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12"/>
        <v>Involuntary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10"/>
        <v>29</v>
      </c>
      <c r="E247" s="6" t="str">
        <f t="shared" si="11"/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12"/>
        <v>Involuntary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10"/>
        <v>16</v>
      </c>
      <c r="E248" s="6" t="str">
        <f t="shared" si="11"/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12"/>
        <v>Involuntary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10"/>
        <v>22</v>
      </c>
      <c r="E249" s="6" t="str">
        <f t="shared" si="11"/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12"/>
        <v>Voluntary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10"/>
        <v>25</v>
      </c>
      <c r="E250" s="6" t="str">
        <f t="shared" si="11"/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12"/>
        <v>Voluntary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10"/>
        <v>29</v>
      </c>
      <c r="E251" s="6" t="str">
        <f t="shared" si="11"/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12"/>
        <v>Involuntary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10"/>
        <v>7</v>
      </c>
      <c r="E252" s="6" t="b">
        <f t="shared" si="11"/>
        <v>0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12"/>
        <v>Involuntary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10"/>
        <v>29</v>
      </c>
      <c r="E253" s="6" t="str">
        <f t="shared" si="11"/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12"/>
        <v>Involuntary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10"/>
        <v>14</v>
      </c>
      <c r="E254" s="6" t="str">
        <f t="shared" si="11"/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12"/>
        <v>Voluntary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10"/>
        <v>11</v>
      </c>
      <c r="E255" s="6" t="str">
        <f t="shared" si="11"/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12"/>
        <v>Voluntary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10"/>
        <v>15</v>
      </c>
      <c r="E256" s="6" t="str">
        <f t="shared" si="11"/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12"/>
        <v>Voluntary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10"/>
        <v>26</v>
      </c>
      <c r="E257" s="6" t="str">
        <f t="shared" si="11"/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12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10"/>
        <v>9</v>
      </c>
      <c r="E258" s="6" t="b">
        <f t="shared" si="11"/>
        <v>0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12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13">YEAR(C259)-YEAR(B259)</f>
        <v>6</v>
      </c>
      <c r="E259" s="6" t="b">
        <f t="shared" ref="E259:E322" si="14">IF(D259&lt;=5,"NEWCOMER",IF(D259&gt;10,"EXPERT"))</f>
        <v>0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si="12"/>
        <v>Voluntary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13"/>
        <v>16</v>
      </c>
      <c r="E260" s="6" t="str">
        <f t="shared" si="14"/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ref="M260:M323" si="15">IF(OR(L260="Resignation", L260="Retirement"), "Voluntary", IF(L260="Layoff", "Involuntary", "Other"))</f>
        <v>Involuntary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13"/>
        <v>14</v>
      </c>
      <c r="E261" s="6" t="str">
        <f t="shared" si="14"/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15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13"/>
        <v>11</v>
      </c>
      <c r="E262" s="6" t="str">
        <f t="shared" si="14"/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15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13"/>
        <v>15</v>
      </c>
      <c r="E263" s="6" t="str">
        <f t="shared" si="14"/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si="15"/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13"/>
        <v>16</v>
      </c>
      <c r="E264" s="6" t="str">
        <f t="shared" si="14"/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5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13"/>
        <v>19</v>
      </c>
      <c r="E265" s="6" t="str">
        <f t="shared" si="14"/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5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13"/>
        <v>27</v>
      </c>
      <c r="E266" s="6" t="str">
        <f t="shared" si="14"/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5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13"/>
        <v>29</v>
      </c>
      <c r="E267" s="6" t="str">
        <f t="shared" si="14"/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5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13"/>
        <v>14</v>
      </c>
      <c r="E268" s="6" t="str">
        <f t="shared" si="14"/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5"/>
        <v>Involuntary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13"/>
        <v>19</v>
      </c>
      <c r="E269" s="6" t="str">
        <f t="shared" si="14"/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5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13"/>
        <v>26</v>
      </c>
      <c r="E270" s="6" t="str">
        <f t="shared" si="14"/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5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13"/>
        <v>30</v>
      </c>
      <c r="E271" s="6" t="str">
        <f t="shared" si="14"/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5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13"/>
        <v>27</v>
      </c>
      <c r="E272" s="6" t="str">
        <f t="shared" si="14"/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5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13"/>
        <v>16</v>
      </c>
      <c r="E273" s="6" t="str">
        <f t="shared" si="14"/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5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13"/>
        <v>23</v>
      </c>
      <c r="E274" s="6" t="str">
        <f t="shared" si="14"/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5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13"/>
        <v>9</v>
      </c>
      <c r="E275" s="6" t="b">
        <f t="shared" si="14"/>
        <v>0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5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13"/>
        <v>15</v>
      </c>
      <c r="E276" s="6" t="str">
        <f t="shared" si="14"/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5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13"/>
        <v>17</v>
      </c>
      <c r="E277" s="6" t="str">
        <f t="shared" si="14"/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5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13"/>
        <v>29</v>
      </c>
      <c r="E278" s="6" t="str">
        <f t="shared" si="14"/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5"/>
        <v>Voluntary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13"/>
        <v>8</v>
      </c>
      <c r="E279" s="6" t="b">
        <f t="shared" si="14"/>
        <v>0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5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13"/>
        <v>24</v>
      </c>
      <c r="E280" s="6" t="str">
        <f t="shared" si="14"/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5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13"/>
        <v>19</v>
      </c>
      <c r="E281" s="6" t="str">
        <f t="shared" si="14"/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5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13"/>
        <v>17</v>
      </c>
      <c r="E282" s="6" t="str">
        <f t="shared" si="14"/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5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13"/>
        <v>8</v>
      </c>
      <c r="E283" s="6" t="b">
        <f t="shared" si="14"/>
        <v>0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5"/>
        <v>Involuntary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13"/>
        <v>25</v>
      </c>
      <c r="E284" s="6" t="str">
        <f t="shared" si="14"/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5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13"/>
        <v>17</v>
      </c>
      <c r="E285" s="6" t="str">
        <f t="shared" si="14"/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5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13"/>
        <v>9</v>
      </c>
      <c r="E286" s="6" t="b">
        <f t="shared" si="14"/>
        <v>0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5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13"/>
        <v>18</v>
      </c>
      <c r="E287" s="6" t="str">
        <f t="shared" si="14"/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5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13"/>
        <v>15</v>
      </c>
      <c r="E288" s="6" t="str">
        <f t="shared" si="14"/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5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13"/>
        <v>16</v>
      </c>
      <c r="E289" s="6" t="str">
        <f t="shared" si="14"/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5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13"/>
        <v>30</v>
      </c>
      <c r="E290" s="6" t="str">
        <f t="shared" si="14"/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5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13"/>
        <v>16</v>
      </c>
      <c r="E291" s="6" t="str">
        <f t="shared" si="14"/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5"/>
        <v>Involuntary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13"/>
        <v>12</v>
      </c>
      <c r="E292" s="6" t="str">
        <f t="shared" si="14"/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5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13"/>
        <v>26</v>
      </c>
      <c r="E293" s="6" t="str">
        <f t="shared" si="14"/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5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13"/>
        <v>5</v>
      </c>
      <c r="E294" s="6" t="str">
        <f t="shared" si="14"/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5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13"/>
        <v>30</v>
      </c>
      <c r="E295" s="6" t="str">
        <f t="shared" si="14"/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5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13"/>
        <v>14</v>
      </c>
      <c r="E296" s="6" t="str">
        <f t="shared" si="14"/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5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13"/>
        <v>6</v>
      </c>
      <c r="E297" s="6" t="b">
        <f t="shared" si="14"/>
        <v>0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5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13"/>
        <v>16</v>
      </c>
      <c r="E298" s="6" t="str">
        <f t="shared" si="14"/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5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13"/>
        <v>7</v>
      </c>
      <c r="E299" s="6" t="b">
        <f t="shared" si="14"/>
        <v>0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5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13"/>
        <v>17</v>
      </c>
      <c r="E300" s="6" t="str">
        <f t="shared" si="14"/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5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13"/>
        <v>30</v>
      </c>
      <c r="E301" s="6" t="str">
        <f t="shared" si="14"/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5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13"/>
        <v>19</v>
      </c>
      <c r="E302" s="6" t="str">
        <f t="shared" si="14"/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5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13"/>
        <v>14</v>
      </c>
      <c r="E303" s="6" t="str">
        <f t="shared" si="14"/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5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13"/>
        <v>13</v>
      </c>
      <c r="E304" s="6" t="str">
        <f t="shared" si="14"/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5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13"/>
        <v>14</v>
      </c>
      <c r="E305" s="6" t="str">
        <f t="shared" si="14"/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5"/>
        <v>Involuntary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13"/>
        <v>22</v>
      </c>
      <c r="E306" s="6" t="str">
        <f t="shared" si="14"/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5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13"/>
        <v>18</v>
      </c>
      <c r="E307" s="6" t="str">
        <f t="shared" si="14"/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5"/>
        <v>Voluntary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13"/>
        <v>10</v>
      </c>
      <c r="E308" s="6" t="b">
        <f t="shared" si="14"/>
        <v>0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5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13"/>
        <v>15</v>
      </c>
      <c r="E309" s="6" t="str">
        <f t="shared" si="14"/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5"/>
        <v>Involuntary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13"/>
        <v>21</v>
      </c>
      <c r="E310" s="6" t="str">
        <f t="shared" si="14"/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5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13"/>
        <v>15</v>
      </c>
      <c r="E311" s="6" t="str">
        <f t="shared" si="14"/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5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13"/>
        <v>29</v>
      </c>
      <c r="E312" s="6" t="str">
        <f t="shared" si="14"/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5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13"/>
        <v>23</v>
      </c>
      <c r="E313" s="6" t="str">
        <f t="shared" si="14"/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5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13"/>
        <v>10</v>
      </c>
      <c r="E314" s="6" t="b">
        <f t="shared" si="14"/>
        <v>0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5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13"/>
        <v>26</v>
      </c>
      <c r="E315" s="6" t="str">
        <f t="shared" si="14"/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5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13"/>
        <v>14</v>
      </c>
      <c r="E316" s="6" t="str">
        <f t="shared" si="14"/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5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13"/>
        <v>18</v>
      </c>
      <c r="E317" s="6" t="str">
        <f t="shared" si="14"/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5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13"/>
        <v>26</v>
      </c>
      <c r="E318" s="6" t="str">
        <f t="shared" si="14"/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5"/>
        <v>Voluntary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13"/>
        <v>20</v>
      </c>
      <c r="E319" s="6" t="str">
        <f t="shared" si="14"/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5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13"/>
        <v>9</v>
      </c>
      <c r="E320" s="6" t="b">
        <f t="shared" si="14"/>
        <v>0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5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13"/>
        <v>13</v>
      </c>
      <c r="E321" s="6" t="str">
        <f t="shared" si="14"/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5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13"/>
        <v>9</v>
      </c>
      <c r="E322" s="6" t="b">
        <f t="shared" si="14"/>
        <v>0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5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6">YEAR(C323)-YEAR(B323)</f>
        <v>14</v>
      </c>
      <c r="E323" s="6" t="str">
        <f t="shared" ref="E323:E386" si="17">IF(D323&lt;=5,"NEWCOMER",IF(D323&gt;10,"EXPERT"))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si="15"/>
        <v>Involuntary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6"/>
        <v>23</v>
      </c>
      <c r="E324" s="6" t="str">
        <f t="shared" si="17"/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ref="M324:M387" si="18">IF(OR(L324="Resignation", L324="Retirement"), "Voluntary", IF(L324="Layoff", "Involuntary", "Other"))</f>
        <v>Involuntary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6"/>
        <v>15</v>
      </c>
      <c r="E325" s="6" t="str">
        <f t="shared" si="17"/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8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6"/>
        <v>9</v>
      </c>
      <c r="E326" s="6" t="b">
        <f t="shared" si="17"/>
        <v>0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8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6"/>
        <v>24</v>
      </c>
      <c r="E327" s="6" t="str">
        <f t="shared" si="17"/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si="18"/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6"/>
        <v>29</v>
      </c>
      <c r="E328" s="6" t="str">
        <f t="shared" si="17"/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8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6"/>
        <v>29</v>
      </c>
      <c r="E329" s="6" t="str">
        <f t="shared" si="17"/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8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6"/>
        <v>11</v>
      </c>
      <c r="E330" s="6" t="str">
        <f t="shared" si="17"/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8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6"/>
        <v>8</v>
      </c>
      <c r="E331" s="6" t="b">
        <f t="shared" si="17"/>
        <v>0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8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6"/>
        <v>14</v>
      </c>
      <c r="E332" s="6" t="str">
        <f t="shared" si="17"/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8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6"/>
        <v>26</v>
      </c>
      <c r="E333" s="6" t="str">
        <f t="shared" si="17"/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8"/>
        <v>Voluntary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6"/>
        <v>18</v>
      </c>
      <c r="E334" s="6" t="str">
        <f t="shared" si="17"/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8"/>
        <v>Involuntary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6"/>
        <v>17</v>
      </c>
      <c r="E335" s="6" t="str">
        <f t="shared" si="17"/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8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6"/>
        <v>24</v>
      </c>
      <c r="E336" s="6" t="str">
        <f t="shared" si="17"/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8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6"/>
        <v>24</v>
      </c>
      <c r="E337" s="6" t="str">
        <f t="shared" si="17"/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8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6"/>
        <v>25</v>
      </c>
      <c r="E338" s="6" t="str">
        <f t="shared" si="17"/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8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6"/>
        <v>28</v>
      </c>
      <c r="E339" s="6" t="str">
        <f t="shared" si="17"/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8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6"/>
        <v>17</v>
      </c>
      <c r="E340" s="6" t="str">
        <f t="shared" si="17"/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8"/>
        <v>Voluntary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6"/>
        <v>19</v>
      </c>
      <c r="E341" s="6" t="str">
        <f t="shared" si="17"/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8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6"/>
        <v>5</v>
      </c>
      <c r="E342" s="6" t="str">
        <f t="shared" si="17"/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8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6"/>
        <v>18</v>
      </c>
      <c r="E343" s="6" t="str">
        <f t="shared" si="17"/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8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6"/>
        <v>16</v>
      </c>
      <c r="E344" s="6" t="str">
        <f t="shared" si="17"/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8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6"/>
        <v>18</v>
      </c>
      <c r="E345" s="6" t="str">
        <f t="shared" si="17"/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8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6"/>
        <v>5</v>
      </c>
      <c r="E346" s="6" t="str">
        <f t="shared" si="17"/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8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6"/>
        <v>27</v>
      </c>
      <c r="E347" s="6" t="str">
        <f t="shared" si="17"/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8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6"/>
        <v>21</v>
      </c>
      <c r="E348" s="6" t="str">
        <f t="shared" si="17"/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8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6"/>
        <v>18</v>
      </c>
      <c r="E349" s="6" t="str">
        <f t="shared" si="17"/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8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6"/>
        <v>14</v>
      </c>
      <c r="E350" s="6" t="str">
        <f t="shared" si="17"/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8"/>
        <v>Involuntary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6"/>
        <v>18</v>
      </c>
      <c r="E351" s="6" t="str">
        <f t="shared" si="17"/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8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6"/>
        <v>10</v>
      </c>
      <c r="E352" s="6" t="b">
        <f t="shared" si="17"/>
        <v>0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8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6"/>
        <v>17</v>
      </c>
      <c r="E353" s="6" t="str">
        <f t="shared" si="17"/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8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6"/>
        <v>10</v>
      </c>
      <c r="E354" s="6" t="b">
        <f t="shared" si="17"/>
        <v>0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8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6"/>
        <v>20</v>
      </c>
      <c r="E355" s="6" t="str">
        <f t="shared" si="17"/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8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6"/>
        <v>19</v>
      </c>
      <c r="E356" s="6" t="str">
        <f t="shared" si="17"/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8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6"/>
        <v>5</v>
      </c>
      <c r="E357" s="6" t="str">
        <f t="shared" si="17"/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8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6"/>
        <v>27</v>
      </c>
      <c r="E358" s="6" t="str">
        <f t="shared" si="17"/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8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6"/>
        <v>13</v>
      </c>
      <c r="E359" s="6" t="str">
        <f t="shared" si="17"/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8"/>
        <v>Voluntary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6"/>
        <v>6</v>
      </c>
      <c r="E360" s="6" t="b">
        <f t="shared" si="17"/>
        <v>0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8"/>
        <v>Involuntary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6"/>
        <v>24</v>
      </c>
      <c r="E361" s="6" t="str">
        <f t="shared" si="17"/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8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6"/>
        <v>8</v>
      </c>
      <c r="E362" s="6" t="b">
        <f t="shared" si="17"/>
        <v>0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8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6"/>
        <v>9</v>
      </c>
      <c r="E363" s="6" t="b">
        <f t="shared" si="17"/>
        <v>0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8"/>
        <v>Voluntary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6"/>
        <v>27</v>
      </c>
      <c r="E364" s="6" t="str">
        <f t="shared" si="17"/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8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6"/>
        <v>25</v>
      </c>
      <c r="E365" s="6" t="str">
        <f t="shared" si="17"/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8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6"/>
        <v>30</v>
      </c>
      <c r="E366" s="6" t="str">
        <f t="shared" si="17"/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8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6"/>
        <v>30</v>
      </c>
      <c r="E367" s="6" t="str">
        <f t="shared" si="17"/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8"/>
        <v>Involuntary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6"/>
        <v>10</v>
      </c>
      <c r="E368" s="6" t="b">
        <f t="shared" si="17"/>
        <v>0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8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6"/>
        <v>17</v>
      </c>
      <c r="E369" s="6" t="str">
        <f t="shared" si="17"/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8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6"/>
        <v>11</v>
      </c>
      <c r="E370" s="6" t="str">
        <f t="shared" si="17"/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8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6"/>
        <v>22</v>
      </c>
      <c r="E371" s="6" t="str">
        <f t="shared" si="17"/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8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6"/>
        <v>24</v>
      </c>
      <c r="E372" s="6" t="str">
        <f t="shared" si="17"/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8"/>
        <v>Voluntary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6"/>
        <v>24</v>
      </c>
      <c r="E373" s="6" t="str">
        <f t="shared" si="17"/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8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6"/>
        <v>24</v>
      </c>
      <c r="E374" s="6" t="str">
        <f t="shared" si="17"/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8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6"/>
        <v>22</v>
      </c>
      <c r="E375" s="6" t="str">
        <f t="shared" si="17"/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8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6"/>
        <v>18</v>
      </c>
      <c r="E376" s="6" t="str">
        <f t="shared" si="17"/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8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6"/>
        <v>25</v>
      </c>
      <c r="E377" s="6" t="str">
        <f t="shared" si="17"/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8"/>
        <v>Voluntary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6"/>
        <v>8</v>
      </c>
      <c r="E378" s="6" t="b">
        <f t="shared" si="17"/>
        <v>0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8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6"/>
        <v>24</v>
      </c>
      <c r="E379" s="6" t="str">
        <f t="shared" si="17"/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8"/>
        <v>Involuntary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6"/>
        <v>9</v>
      </c>
      <c r="E380" s="6" t="b">
        <f t="shared" si="17"/>
        <v>0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8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6"/>
        <v>14</v>
      </c>
      <c r="E381" s="6" t="str">
        <f t="shared" si="17"/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8"/>
        <v>Voluntary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6"/>
        <v>24</v>
      </c>
      <c r="E382" s="6" t="str">
        <f t="shared" si="17"/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8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6"/>
        <v>17</v>
      </c>
      <c r="E383" s="6" t="str">
        <f t="shared" si="17"/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8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6"/>
        <v>18</v>
      </c>
      <c r="E384" s="6" t="str">
        <f t="shared" si="17"/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8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6"/>
        <v>28</v>
      </c>
      <c r="E385" s="6" t="str">
        <f t="shared" si="17"/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8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6"/>
        <v>14</v>
      </c>
      <c r="E386" s="6" t="str">
        <f t="shared" si="17"/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8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9">YEAR(C387)-YEAR(B387)</f>
        <v>26</v>
      </c>
      <c r="E387" s="6" t="str">
        <f t="shared" ref="E387:E450" si="20">IF(D387&lt;=5,"NEWCOMER",IF(D387&gt;10,"EXPERT"))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si="18"/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9"/>
        <v>29</v>
      </c>
      <c r="E388" s="6" t="str">
        <f t="shared" si="20"/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ref="M388:M451" si="21">IF(OR(L388="Resignation", L388="Retirement"), "Voluntary", IF(L388="Layoff", "Involuntary", "Other"))</f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9"/>
        <v>22</v>
      </c>
      <c r="E389" s="6" t="str">
        <f t="shared" si="20"/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21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9"/>
        <v>17</v>
      </c>
      <c r="E390" s="6" t="str">
        <f t="shared" si="20"/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21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9"/>
        <v>9</v>
      </c>
      <c r="E391" s="6" t="b">
        <f t="shared" si="20"/>
        <v>0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si="21"/>
        <v>Voluntary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9"/>
        <v>28</v>
      </c>
      <c r="E392" s="6" t="str">
        <f t="shared" si="20"/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21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9"/>
        <v>18</v>
      </c>
      <c r="E393" s="6" t="str">
        <f t="shared" si="20"/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21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9"/>
        <v>21</v>
      </c>
      <c r="E394" s="6" t="str">
        <f t="shared" si="20"/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21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9"/>
        <v>5</v>
      </c>
      <c r="E395" s="6" t="str">
        <f t="shared" si="20"/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21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9"/>
        <v>26</v>
      </c>
      <c r="E396" s="6" t="str">
        <f t="shared" si="20"/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21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9"/>
        <v>27</v>
      </c>
      <c r="E397" s="6" t="str">
        <f t="shared" si="20"/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21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9"/>
        <v>9</v>
      </c>
      <c r="E398" s="6" t="b">
        <f t="shared" si="20"/>
        <v>0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21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9"/>
        <v>12</v>
      </c>
      <c r="E399" s="6" t="str">
        <f t="shared" si="20"/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21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9"/>
        <v>18</v>
      </c>
      <c r="E400" s="6" t="str">
        <f t="shared" si="20"/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21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9"/>
        <v>23</v>
      </c>
      <c r="E401" s="6" t="str">
        <f t="shared" si="20"/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21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9"/>
        <v>18</v>
      </c>
      <c r="E402" s="6" t="str">
        <f t="shared" si="20"/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21"/>
        <v>Involuntary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9"/>
        <v>13</v>
      </c>
      <c r="E403" s="6" t="str">
        <f t="shared" si="20"/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21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9"/>
        <v>10</v>
      </c>
      <c r="E404" s="6" t="b">
        <f t="shared" si="20"/>
        <v>0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21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9"/>
        <v>10</v>
      </c>
      <c r="E405" s="6" t="b">
        <f t="shared" si="20"/>
        <v>0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21"/>
        <v>Voluntary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9"/>
        <v>12</v>
      </c>
      <c r="E406" s="6" t="str">
        <f t="shared" si="20"/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21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9"/>
        <v>15</v>
      </c>
      <c r="E407" s="6" t="str">
        <f t="shared" si="20"/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21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9"/>
        <v>19</v>
      </c>
      <c r="E408" s="6" t="str">
        <f t="shared" si="20"/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21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9"/>
        <v>24</v>
      </c>
      <c r="E409" s="6" t="str">
        <f t="shared" si="20"/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21"/>
        <v>Involuntary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9"/>
        <v>20</v>
      </c>
      <c r="E410" s="6" t="str">
        <f t="shared" si="20"/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21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9"/>
        <v>16</v>
      </c>
      <c r="E411" s="6" t="str">
        <f t="shared" si="20"/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21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9"/>
        <v>19</v>
      </c>
      <c r="E412" s="6" t="str">
        <f t="shared" si="20"/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21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9"/>
        <v>7</v>
      </c>
      <c r="E413" s="6" t="b">
        <f t="shared" si="20"/>
        <v>0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21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9"/>
        <v>27</v>
      </c>
      <c r="E414" s="6" t="str">
        <f t="shared" si="20"/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21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9"/>
        <v>23</v>
      </c>
      <c r="E415" s="6" t="str">
        <f t="shared" si="20"/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21"/>
        <v>Involuntary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9"/>
        <v>17</v>
      </c>
      <c r="E416" s="6" t="str">
        <f t="shared" si="20"/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21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9"/>
        <v>19</v>
      </c>
      <c r="E417" s="6" t="str">
        <f t="shared" si="20"/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21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9"/>
        <v>13</v>
      </c>
      <c r="E418" s="6" t="str">
        <f t="shared" si="20"/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21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9"/>
        <v>25</v>
      </c>
      <c r="E419" s="6" t="str">
        <f t="shared" si="20"/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21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9"/>
        <v>29</v>
      </c>
      <c r="E420" s="6" t="str">
        <f t="shared" si="20"/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21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9"/>
        <v>24</v>
      </c>
      <c r="E421" s="6" t="str">
        <f t="shared" si="20"/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21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9"/>
        <v>24</v>
      </c>
      <c r="E422" s="6" t="str">
        <f t="shared" si="20"/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21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9"/>
        <v>20</v>
      </c>
      <c r="E423" s="6" t="str">
        <f t="shared" si="20"/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21"/>
        <v>Involuntary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9"/>
        <v>19</v>
      </c>
      <c r="E424" s="6" t="str">
        <f t="shared" si="20"/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21"/>
        <v>Involuntary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9"/>
        <v>7</v>
      </c>
      <c r="E425" s="6" t="b">
        <f t="shared" si="20"/>
        <v>0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21"/>
        <v>Involuntary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9"/>
        <v>26</v>
      </c>
      <c r="E426" s="6" t="str">
        <f t="shared" si="20"/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21"/>
        <v>Involuntary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9"/>
        <v>6</v>
      </c>
      <c r="E427" s="6" t="b">
        <f t="shared" si="20"/>
        <v>0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21"/>
        <v>Involuntary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9"/>
        <v>20</v>
      </c>
      <c r="E428" s="6" t="str">
        <f t="shared" si="20"/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21"/>
        <v>Involuntary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9"/>
        <v>26</v>
      </c>
      <c r="E429" s="6" t="str">
        <f t="shared" si="20"/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21"/>
        <v>Involuntary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9"/>
        <v>24</v>
      </c>
      <c r="E430" s="6" t="str">
        <f t="shared" si="20"/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21"/>
        <v>Involuntary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9"/>
        <v>9</v>
      </c>
      <c r="E431" s="6" t="b">
        <f t="shared" si="20"/>
        <v>0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21"/>
        <v>Involuntary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9"/>
        <v>14</v>
      </c>
      <c r="E432" s="6" t="str">
        <f t="shared" si="20"/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21"/>
        <v>Involuntary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9"/>
        <v>27</v>
      </c>
      <c r="E433" s="6" t="str">
        <f t="shared" si="20"/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21"/>
        <v>Involuntary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9"/>
        <v>25</v>
      </c>
      <c r="E434" s="6" t="str">
        <f t="shared" si="20"/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21"/>
        <v>Involuntary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9"/>
        <v>6</v>
      </c>
      <c r="E435" s="6" t="b">
        <f t="shared" si="20"/>
        <v>0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21"/>
        <v>Involuntary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9"/>
        <v>24</v>
      </c>
      <c r="E436" s="6" t="str">
        <f t="shared" si="20"/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21"/>
        <v>Involuntary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9"/>
        <v>15</v>
      </c>
      <c r="E437" s="6" t="str">
        <f t="shared" si="20"/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21"/>
        <v>Involuntary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9"/>
        <v>15</v>
      </c>
      <c r="E438" s="6" t="str">
        <f t="shared" si="20"/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21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9"/>
        <v>6</v>
      </c>
      <c r="E439" s="6" t="b">
        <f t="shared" si="20"/>
        <v>0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21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9"/>
        <v>22</v>
      </c>
      <c r="E440" s="6" t="str">
        <f t="shared" si="20"/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21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9"/>
        <v>24</v>
      </c>
      <c r="E441" s="6" t="str">
        <f t="shared" si="20"/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21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9"/>
        <v>23</v>
      </c>
      <c r="E442" s="6" t="str">
        <f t="shared" si="20"/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21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9"/>
        <v>24</v>
      </c>
      <c r="E443" s="6" t="str">
        <f t="shared" si="20"/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21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9"/>
        <v>9</v>
      </c>
      <c r="E444" s="6" t="b">
        <f t="shared" si="20"/>
        <v>0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21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9"/>
        <v>29</v>
      </c>
      <c r="E445" s="6" t="str">
        <f t="shared" si="20"/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21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9"/>
        <v>21</v>
      </c>
      <c r="E446" s="6" t="str">
        <f t="shared" si="20"/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21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9"/>
        <v>7</v>
      </c>
      <c r="E447" s="6" t="b">
        <f t="shared" si="20"/>
        <v>0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21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9"/>
        <v>27</v>
      </c>
      <c r="E448" s="6" t="str">
        <f t="shared" si="20"/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21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9"/>
        <v>12</v>
      </c>
      <c r="E449" s="6" t="str">
        <f t="shared" si="20"/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21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9"/>
        <v>29</v>
      </c>
      <c r="E450" s="6" t="str">
        <f t="shared" si="20"/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21"/>
        <v>Involuntary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22">YEAR(C451)-YEAR(B451)</f>
        <v>11</v>
      </c>
      <c r="E451" s="6" t="str">
        <f t="shared" ref="E451:E514" si="23">IF(D451&lt;=5,"NEWCOMER",IF(D451&gt;10,"EXPERT"))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si="21"/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22"/>
        <v>29</v>
      </c>
      <c r="E452" s="6" t="str">
        <f t="shared" si="23"/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ref="M452:M515" si="24">IF(OR(L452="Resignation", L452="Retirement"), "Voluntary", IF(L452="Layoff", "Involuntary", "Other"))</f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22"/>
        <v>8</v>
      </c>
      <c r="E453" s="6" t="b">
        <f t="shared" si="23"/>
        <v>0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24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22"/>
        <v>17</v>
      </c>
      <c r="E454" s="6" t="str">
        <f t="shared" si="23"/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24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22"/>
        <v>23</v>
      </c>
      <c r="E455" s="6" t="str">
        <f t="shared" si="23"/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si="24"/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22"/>
        <v>19</v>
      </c>
      <c r="E456" s="6" t="str">
        <f t="shared" si="23"/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24"/>
        <v>Voluntary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22"/>
        <v>19</v>
      </c>
      <c r="E457" s="6" t="str">
        <f t="shared" si="23"/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24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22"/>
        <v>22</v>
      </c>
      <c r="E458" s="6" t="str">
        <f t="shared" si="23"/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24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22"/>
        <v>15</v>
      </c>
      <c r="E459" s="6" t="str">
        <f t="shared" si="23"/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24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22"/>
        <v>30</v>
      </c>
      <c r="E460" s="6" t="str">
        <f t="shared" si="23"/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24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22"/>
        <v>14</v>
      </c>
      <c r="E461" s="6" t="str">
        <f t="shared" si="23"/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24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22"/>
        <v>6</v>
      </c>
      <c r="E462" s="6" t="b">
        <f t="shared" si="23"/>
        <v>0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24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22"/>
        <v>20</v>
      </c>
      <c r="E463" s="6" t="str">
        <f t="shared" si="23"/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24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22"/>
        <v>25</v>
      </c>
      <c r="E464" s="6" t="str">
        <f t="shared" si="23"/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24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22"/>
        <v>10</v>
      </c>
      <c r="E465" s="6" t="b">
        <f t="shared" si="23"/>
        <v>0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24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22"/>
        <v>12</v>
      </c>
      <c r="E466" s="6" t="str">
        <f t="shared" si="23"/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24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22"/>
        <v>29</v>
      </c>
      <c r="E467" s="6" t="str">
        <f t="shared" si="23"/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24"/>
        <v>Involuntary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22"/>
        <v>6</v>
      </c>
      <c r="E468" s="6" t="b">
        <f t="shared" si="23"/>
        <v>0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24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22"/>
        <v>27</v>
      </c>
      <c r="E469" s="6" t="str">
        <f t="shared" si="23"/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24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22"/>
        <v>19</v>
      </c>
      <c r="E470" s="6" t="str">
        <f t="shared" si="23"/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24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22"/>
        <v>15</v>
      </c>
      <c r="E471" s="6" t="str">
        <f t="shared" si="23"/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24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22"/>
        <v>26</v>
      </c>
      <c r="E472" s="6" t="str">
        <f t="shared" si="23"/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24"/>
        <v>Voluntary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22"/>
        <v>7</v>
      </c>
      <c r="E473" s="6" t="b">
        <f t="shared" si="23"/>
        <v>0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24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22"/>
        <v>10</v>
      </c>
      <c r="E474" s="6" t="b">
        <f t="shared" si="23"/>
        <v>0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24"/>
        <v>Involuntary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22"/>
        <v>10</v>
      </c>
      <c r="E475" s="6" t="b">
        <f t="shared" si="23"/>
        <v>0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24"/>
        <v>Voluntary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22"/>
        <v>18</v>
      </c>
      <c r="E476" s="6" t="str">
        <f t="shared" si="23"/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24"/>
        <v>Involuntary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22"/>
        <v>13</v>
      </c>
      <c r="E477" s="6" t="str">
        <f t="shared" si="23"/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24"/>
        <v>Involuntary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22"/>
        <v>6</v>
      </c>
      <c r="E478" s="6" t="b">
        <f t="shared" si="23"/>
        <v>0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24"/>
        <v>Involuntary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22"/>
        <v>23</v>
      </c>
      <c r="E479" s="6" t="str">
        <f t="shared" si="23"/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24"/>
        <v>Involuntary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22"/>
        <v>8</v>
      </c>
      <c r="E480" s="6" t="b">
        <f t="shared" si="23"/>
        <v>0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24"/>
        <v>Involuntary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22"/>
        <v>21</v>
      </c>
      <c r="E481" s="6" t="str">
        <f t="shared" si="23"/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24"/>
        <v>Involuntary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22"/>
        <v>9</v>
      </c>
      <c r="E482" s="6" t="b">
        <f t="shared" si="23"/>
        <v>0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24"/>
        <v>Involuntary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22"/>
        <v>19</v>
      </c>
      <c r="E483" s="6" t="str">
        <f t="shared" si="23"/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24"/>
        <v>Involuntary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22"/>
        <v>18</v>
      </c>
      <c r="E484" s="6" t="str">
        <f t="shared" si="23"/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24"/>
        <v>Involuntary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22"/>
        <v>27</v>
      </c>
      <c r="E485" s="6" t="str">
        <f t="shared" si="23"/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24"/>
        <v>Involuntary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22"/>
        <v>7</v>
      </c>
      <c r="E486" s="6" t="b">
        <f t="shared" si="23"/>
        <v>0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24"/>
        <v>Involuntary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22"/>
        <v>20</v>
      </c>
      <c r="E487" s="6" t="str">
        <f t="shared" si="23"/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24"/>
        <v>Involuntary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22"/>
        <v>11</v>
      </c>
      <c r="E488" s="6" t="str">
        <f t="shared" si="23"/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24"/>
        <v>Involuntary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22"/>
        <v>8</v>
      </c>
      <c r="E489" s="6" t="b">
        <f t="shared" si="23"/>
        <v>0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24"/>
        <v>Involuntary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22"/>
        <v>16</v>
      </c>
      <c r="E490" s="6" t="str">
        <f t="shared" si="23"/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24"/>
        <v>Involuntary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22"/>
        <v>6</v>
      </c>
      <c r="E491" s="6" t="b">
        <f t="shared" si="23"/>
        <v>0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24"/>
        <v>Involuntary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22"/>
        <v>19</v>
      </c>
      <c r="E492" s="6" t="str">
        <f t="shared" si="23"/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24"/>
        <v>Involuntary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22"/>
        <v>24</v>
      </c>
      <c r="E493" s="6" t="str">
        <f t="shared" si="23"/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24"/>
        <v>Involuntary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22"/>
        <v>15</v>
      </c>
      <c r="E494" s="6" t="str">
        <f t="shared" si="23"/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24"/>
        <v>Involuntary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22"/>
        <v>19</v>
      </c>
      <c r="E495" s="6" t="str">
        <f t="shared" si="23"/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24"/>
        <v>Involuntary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22"/>
        <v>8</v>
      </c>
      <c r="E496" s="6" t="b">
        <f t="shared" si="23"/>
        <v>0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24"/>
        <v>Involuntary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22"/>
        <v>5</v>
      </c>
      <c r="E497" s="6" t="str">
        <f t="shared" si="23"/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24"/>
        <v>Involuntary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22"/>
        <v>16</v>
      </c>
      <c r="E498" s="6" t="str">
        <f t="shared" si="23"/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24"/>
        <v>Involuntary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22"/>
        <v>21</v>
      </c>
      <c r="E499" s="6" t="str">
        <f t="shared" si="23"/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24"/>
        <v>Involuntary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22"/>
        <v>6</v>
      </c>
      <c r="E500" s="6" t="b">
        <f t="shared" si="23"/>
        <v>0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24"/>
        <v>Involuntary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22"/>
        <v>12</v>
      </c>
      <c r="E501" s="6" t="str">
        <f t="shared" si="23"/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24"/>
        <v>Involuntary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22"/>
        <v>11</v>
      </c>
      <c r="E502" s="6" t="str">
        <f t="shared" si="23"/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24"/>
        <v>Involuntary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22"/>
        <v>25</v>
      </c>
      <c r="E503" s="6" t="str">
        <f t="shared" si="23"/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24"/>
        <v>Involuntary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22"/>
        <v>18</v>
      </c>
      <c r="E504" s="6" t="str">
        <f t="shared" si="23"/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24"/>
        <v>Involuntary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22"/>
        <v>13</v>
      </c>
      <c r="E505" s="6" t="str">
        <f t="shared" si="23"/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24"/>
        <v>Voluntary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22"/>
        <v>16</v>
      </c>
      <c r="E506" s="6" t="str">
        <f t="shared" si="23"/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24"/>
        <v>Involuntary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22"/>
        <v>5</v>
      </c>
      <c r="E507" s="6" t="str">
        <f t="shared" si="23"/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24"/>
        <v>Involuntary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22"/>
        <v>13</v>
      </c>
      <c r="E508" s="6" t="str">
        <f t="shared" si="23"/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24"/>
        <v>Involuntary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22"/>
        <v>10</v>
      </c>
      <c r="E509" s="6" t="b">
        <f t="shared" si="23"/>
        <v>0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24"/>
        <v>Involuntary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22"/>
        <v>27</v>
      </c>
      <c r="E510" s="6" t="str">
        <f t="shared" si="23"/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24"/>
        <v>Involuntary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22"/>
        <v>15</v>
      </c>
      <c r="E511" s="6" t="str">
        <f t="shared" si="23"/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24"/>
        <v>Involuntary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22"/>
        <v>28</v>
      </c>
      <c r="E512" s="6" t="str">
        <f t="shared" si="23"/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24"/>
        <v>Involuntary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22"/>
        <v>28</v>
      </c>
      <c r="E513" s="6" t="str">
        <f t="shared" si="23"/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24"/>
        <v>Involuntary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22"/>
        <v>21</v>
      </c>
      <c r="E514" s="6" t="str">
        <f t="shared" si="23"/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24"/>
        <v>Involuntary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25">YEAR(C515)-YEAR(B515)</f>
        <v>9</v>
      </c>
      <c r="E515" s="6" t="b">
        <f t="shared" ref="E515:E578" si="26">IF(D515&lt;=5,"NEWCOMER",IF(D515&gt;10,"EXPERT"))</f>
        <v>0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si="24"/>
        <v>Involuntary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25"/>
        <v>8</v>
      </c>
      <c r="E516" s="6" t="b">
        <f t="shared" si="26"/>
        <v>0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ref="M516:M579" si="27">IF(OR(L516="Resignation", L516="Retirement"), "Voluntary", IF(L516="Layoff", "Involuntary", "Other"))</f>
        <v>Involuntary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25"/>
        <v>23</v>
      </c>
      <c r="E517" s="6" t="str">
        <f t="shared" si="26"/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27"/>
        <v>Involuntary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25"/>
        <v>6</v>
      </c>
      <c r="E518" s="6" t="b">
        <f t="shared" si="26"/>
        <v>0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27"/>
        <v>Involuntary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25"/>
        <v>6</v>
      </c>
      <c r="E519" s="6" t="b">
        <f t="shared" si="26"/>
        <v>0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si="27"/>
        <v>Involuntary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25"/>
        <v>12</v>
      </c>
      <c r="E520" s="6" t="str">
        <f t="shared" si="26"/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27"/>
        <v>Involuntary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25"/>
        <v>30</v>
      </c>
      <c r="E521" s="6" t="str">
        <f t="shared" si="26"/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27"/>
        <v>Involuntary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25"/>
        <v>30</v>
      </c>
      <c r="E522" s="6" t="str">
        <f t="shared" si="26"/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27"/>
        <v>Involuntary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25"/>
        <v>8</v>
      </c>
      <c r="E523" s="6" t="b">
        <f t="shared" si="26"/>
        <v>0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27"/>
        <v>Involuntary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25"/>
        <v>5</v>
      </c>
      <c r="E524" s="6" t="str">
        <f t="shared" si="26"/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27"/>
        <v>Involuntary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25"/>
        <v>26</v>
      </c>
      <c r="E525" s="6" t="str">
        <f t="shared" si="26"/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27"/>
        <v>Involuntary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25"/>
        <v>24</v>
      </c>
      <c r="E526" s="6" t="str">
        <f t="shared" si="26"/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27"/>
        <v>Involuntary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25"/>
        <v>17</v>
      </c>
      <c r="E527" s="6" t="str">
        <f t="shared" si="26"/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27"/>
        <v>Involuntary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25"/>
        <v>14</v>
      </c>
      <c r="E528" s="6" t="str">
        <f t="shared" si="26"/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27"/>
        <v>Involuntary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25"/>
        <v>12</v>
      </c>
      <c r="E529" s="6" t="str">
        <f t="shared" si="26"/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27"/>
        <v>Voluntary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25"/>
        <v>7</v>
      </c>
      <c r="E530" s="6" t="b">
        <f t="shared" si="26"/>
        <v>0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27"/>
        <v>Involuntary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25"/>
        <v>26</v>
      </c>
      <c r="E531" s="6" t="str">
        <f t="shared" si="26"/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27"/>
        <v>Voluntary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25"/>
        <v>9</v>
      </c>
      <c r="E532" s="6" t="b">
        <f t="shared" si="26"/>
        <v>0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27"/>
        <v>Involuntary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25"/>
        <v>5</v>
      </c>
      <c r="E533" s="6" t="str">
        <f t="shared" si="26"/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27"/>
        <v>Involuntary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25"/>
        <v>28</v>
      </c>
      <c r="E534" s="6" t="str">
        <f t="shared" si="26"/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27"/>
        <v>Involuntary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25"/>
        <v>27</v>
      </c>
      <c r="E535" s="6" t="str">
        <f t="shared" si="26"/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27"/>
        <v>Involuntary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25"/>
        <v>8</v>
      </c>
      <c r="E536" s="6" t="b">
        <f t="shared" si="26"/>
        <v>0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27"/>
        <v>Involuntary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25"/>
        <v>13</v>
      </c>
      <c r="E537" s="6" t="str">
        <f t="shared" si="26"/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27"/>
        <v>Involuntary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25"/>
        <v>27</v>
      </c>
      <c r="E538" s="6" t="str">
        <f t="shared" si="26"/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27"/>
        <v>Involuntary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25"/>
        <v>11</v>
      </c>
      <c r="E539" s="6" t="str">
        <f t="shared" si="26"/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27"/>
        <v>Involuntary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25"/>
        <v>11</v>
      </c>
      <c r="E540" s="6" t="str">
        <f t="shared" si="26"/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27"/>
        <v>Involuntary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25"/>
        <v>9</v>
      </c>
      <c r="E541" s="6" t="b">
        <f t="shared" si="26"/>
        <v>0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27"/>
        <v>Involuntary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25"/>
        <v>22</v>
      </c>
      <c r="E542" s="6" t="str">
        <f t="shared" si="26"/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27"/>
        <v>Involuntary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25"/>
        <v>7</v>
      </c>
      <c r="E543" s="6" t="b">
        <f t="shared" si="26"/>
        <v>0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27"/>
        <v>Involuntary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25"/>
        <v>12</v>
      </c>
      <c r="E544" s="6" t="str">
        <f t="shared" si="26"/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27"/>
        <v>Involuntary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25"/>
        <v>16</v>
      </c>
      <c r="E545" s="6" t="str">
        <f t="shared" si="26"/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27"/>
        <v>Involuntary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25"/>
        <v>16</v>
      </c>
      <c r="E546" s="6" t="str">
        <f t="shared" si="26"/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27"/>
        <v>Involuntary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25"/>
        <v>6</v>
      </c>
      <c r="E547" s="6" t="b">
        <f t="shared" si="26"/>
        <v>0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27"/>
        <v>Involuntary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25"/>
        <v>20</v>
      </c>
      <c r="E548" s="6" t="str">
        <f t="shared" si="26"/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27"/>
        <v>Involuntary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25"/>
        <v>29</v>
      </c>
      <c r="E549" s="6" t="str">
        <f t="shared" si="26"/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27"/>
        <v>Involuntary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25"/>
        <v>15</v>
      </c>
      <c r="E550" s="6" t="str">
        <f t="shared" si="26"/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27"/>
        <v>Involuntary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25"/>
        <v>6</v>
      </c>
      <c r="E551" s="6" t="b">
        <f t="shared" si="26"/>
        <v>0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27"/>
        <v>Involuntary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25"/>
        <v>26</v>
      </c>
      <c r="E552" s="6" t="str">
        <f t="shared" si="26"/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27"/>
        <v>Involuntary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25"/>
        <v>16</v>
      </c>
      <c r="E553" s="6" t="str">
        <f t="shared" si="26"/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27"/>
        <v>Involuntary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25"/>
        <v>11</v>
      </c>
      <c r="E554" s="6" t="str">
        <f t="shared" si="26"/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27"/>
        <v>Involuntary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25"/>
        <v>23</v>
      </c>
      <c r="E555" s="6" t="str">
        <f t="shared" si="26"/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27"/>
        <v>Involuntary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25"/>
        <v>30</v>
      </c>
      <c r="E556" s="6" t="str">
        <f t="shared" si="26"/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27"/>
        <v>Involuntary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25"/>
        <v>11</v>
      </c>
      <c r="E557" s="6" t="str">
        <f t="shared" si="26"/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27"/>
        <v>Involuntary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25"/>
        <v>30</v>
      </c>
      <c r="E558" s="6" t="str">
        <f t="shared" si="26"/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27"/>
        <v>Involuntary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25"/>
        <v>23</v>
      </c>
      <c r="E559" s="6" t="str">
        <f t="shared" si="26"/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27"/>
        <v>Involuntary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25"/>
        <v>23</v>
      </c>
      <c r="E560" s="6" t="str">
        <f t="shared" si="26"/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27"/>
        <v>Involuntary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25"/>
        <v>23</v>
      </c>
      <c r="E561" s="6" t="str">
        <f t="shared" si="26"/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27"/>
        <v>Involuntary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25"/>
        <v>27</v>
      </c>
      <c r="E562" s="6" t="str">
        <f t="shared" si="26"/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27"/>
        <v>Involuntary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25"/>
        <v>26</v>
      </c>
      <c r="E563" s="6" t="str">
        <f t="shared" si="26"/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27"/>
        <v>Involuntary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25"/>
        <v>24</v>
      </c>
      <c r="E564" s="6" t="str">
        <f t="shared" si="26"/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27"/>
        <v>Involuntary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25"/>
        <v>25</v>
      </c>
      <c r="E565" s="6" t="str">
        <f t="shared" si="26"/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27"/>
        <v>Involuntary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25"/>
        <v>12</v>
      </c>
      <c r="E566" s="6" t="str">
        <f t="shared" si="26"/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27"/>
        <v>Involuntary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25"/>
        <v>17</v>
      </c>
      <c r="E567" s="6" t="str">
        <f t="shared" si="26"/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27"/>
        <v>Involuntary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25"/>
        <v>9</v>
      </c>
      <c r="E568" s="6" t="b">
        <f t="shared" si="26"/>
        <v>0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27"/>
        <v>Involuntary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25"/>
        <v>21</v>
      </c>
      <c r="E569" s="6" t="str">
        <f t="shared" si="26"/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27"/>
        <v>Involuntary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25"/>
        <v>9</v>
      </c>
      <c r="E570" s="6" t="b">
        <f t="shared" si="26"/>
        <v>0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27"/>
        <v>Involuntary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25"/>
        <v>13</v>
      </c>
      <c r="E571" s="6" t="str">
        <f t="shared" si="26"/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27"/>
        <v>Involuntary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25"/>
        <v>5</v>
      </c>
      <c r="E572" s="6" t="str">
        <f t="shared" si="26"/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27"/>
        <v>Involuntary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25"/>
        <v>28</v>
      </c>
      <c r="E573" s="6" t="str">
        <f t="shared" si="26"/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27"/>
        <v>Involuntary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25"/>
        <v>18</v>
      </c>
      <c r="E574" s="6" t="str">
        <f t="shared" si="26"/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27"/>
        <v>Voluntary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25"/>
        <v>5</v>
      </c>
      <c r="E575" s="6" t="str">
        <f t="shared" si="26"/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27"/>
        <v>Involuntary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25"/>
        <v>5</v>
      </c>
      <c r="E576" s="6" t="str">
        <f t="shared" si="26"/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27"/>
        <v>Involuntary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25"/>
        <v>5</v>
      </c>
      <c r="E577" s="6" t="str">
        <f t="shared" si="26"/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27"/>
        <v>Involuntary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25"/>
        <v>23</v>
      </c>
      <c r="E578" s="6" t="str">
        <f t="shared" si="26"/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27"/>
        <v>Involuntary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28">YEAR(C579)-YEAR(B579)</f>
        <v>27</v>
      </c>
      <c r="E579" s="6" t="str">
        <f t="shared" ref="E579:E642" si="29">IF(D579&lt;=5,"NEWCOMER",IF(D579&gt;10,"EXPERT"))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si="27"/>
        <v>Involuntary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28"/>
        <v>9</v>
      </c>
      <c r="E580" s="6" t="b">
        <f t="shared" si="29"/>
        <v>0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ref="M580:M643" si="30">IF(OR(L580="Resignation", L580="Retirement"), "Voluntary", IF(L580="Layoff", "Involuntary", "Other"))</f>
        <v>Involuntary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28"/>
        <v>27</v>
      </c>
      <c r="E581" s="6" t="str">
        <f t="shared" si="29"/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30"/>
        <v>Involuntary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28"/>
        <v>10</v>
      </c>
      <c r="E582" s="6" t="b">
        <f t="shared" si="29"/>
        <v>0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30"/>
        <v>Involuntary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28"/>
        <v>9</v>
      </c>
      <c r="E583" s="6" t="b">
        <f t="shared" si="29"/>
        <v>0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si="30"/>
        <v>Involuntary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28"/>
        <v>22</v>
      </c>
      <c r="E584" s="6" t="str">
        <f t="shared" si="29"/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30"/>
        <v>Involuntary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28"/>
        <v>6</v>
      </c>
      <c r="E585" s="6" t="b">
        <f t="shared" si="29"/>
        <v>0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30"/>
        <v>Involuntary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28"/>
        <v>27</v>
      </c>
      <c r="E586" s="6" t="str">
        <f t="shared" si="29"/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30"/>
        <v>Involuntary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28"/>
        <v>10</v>
      </c>
      <c r="E587" s="6" t="b">
        <f t="shared" si="29"/>
        <v>0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30"/>
        <v>Voluntary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28"/>
        <v>13</v>
      </c>
      <c r="E588" s="6" t="str">
        <f t="shared" si="29"/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30"/>
        <v>Involuntary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28"/>
        <v>9</v>
      </c>
      <c r="E589" s="6" t="b">
        <f t="shared" si="29"/>
        <v>0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30"/>
        <v>Involuntary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28"/>
        <v>11</v>
      </c>
      <c r="E590" s="6" t="str">
        <f t="shared" si="29"/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30"/>
        <v>Voluntary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28"/>
        <v>13</v>
      </c>
      <c r="E591" s="6" t="str">
        <f t="shared" si="29"/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30"/>
        <v>Involuntary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28"/>
        <v>20</v>
      </c>
      <c r="E592" s="6" t="str">
        <f t="shared" si="29"/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30"/>
        <v>Involuntary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28"/>
        <v>15</v>
      </c>
      <c r="E593" s="6" t="str">
        <f t="shared" si="29"/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30"/>
        <v>Involuntary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28"/>
        <v>25</v>
      </c>
      <c r="E594" s="6" t="str">
        <f t="shared" si="29"/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30"/>
        <v>Involuntary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28"/>
        <v>14</v>
      </c>
      <c r="E595" s="6" t="str">
        <f t="shared" si="29"/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30"/>
        <v>Involuntary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28"/>
        <v>30</v>
      </c>
      <c r="E596" s="6" t="str">
        <f t="shared" si="29"/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30"/>
        <v>Voluntary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28"/>
        <v>8</v>
      </c>
      <c r="E597" s="6" t="b">
        <f t="shared" si="29"/>
        <v>0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30"/>
        <v>Involuntary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28"/>
        <v>13</v>
      </c>
      <c r="E598" s="6" t="str">
        <f t="shared" si="29"/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30"/>
        <v>Involuntary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28"/>
        <v>5</v>
      </c>
      <c r="E599" s="6" t="str">
        <f t="shared" si="29"/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30"/>
        <v>Involuntary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28"/>
        <v>10</v>
      </c>
      <c r="E600" s="6" t="b">
        <f t="shared" si="29"/>
        <v>0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30"/>
        <v>Involuntary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28"/>
        <v>11</v>
      </c>
      <c r="E601" s="6" t="str">
        <f t="shared" si="29"/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30"/>
        <v>Voluntary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28"/>
        <v>15</v>
      </c>
      <c r="E602" s="6" t="str">
        <f t="shared" si="29"/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30"/>
        <v>Involuntary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28"/>
        <v>28</v>
      </c>
      <c r="E603" s="6" t="str">
        <f t="shared" si="29"/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30"/>
        <v>Involuntary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28"/>
        <v>24</v>
      </c>
      <c r="E604" s="6" t="str">
        <f t="shared" si="29"/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30"/>
        <v>Involuntary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28"/>
        <v>20</v>
      </c>
      <c r="E605" s="6" t="str">
        <f t="shared" si="29"/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30"/>
        <v>Involuntary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28"/>
        <v>23</v>
      </c>
      <c r="E606" s="6" t="str">
        <f t="shared" si="29"/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30"/>
        <v>Involuntary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28"/>
        <v>23</v>
      </c>
      <c r="E607" s="6" t="str">
        <f t="shared" si="29"/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30"/>
        <v>Involuntary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28"/>
        <v>23</v>
      </c>
      <c r="E608" s="6" t="str">
        <f t="shared" si="29"/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30"/>
        <v>Involuntary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28"/>
        <v>19</v>
      </c>
      <c r="E609" s="6" t="str">
        <f t="shared" si="29"/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30"/>
        <v>Involuntary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28"/>
        <v>24</v>
      </c>
      <c r="E610" s="6" t="str">
        <f t="shared" si="29"/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30"/>
        <v>Involuntary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28"/>
        <v>21</v>
      </c>
      <c r="E611" s="6" t="str">
        <f t="shared" si="29"/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30"/>
        <v>Involuntary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28"/>
        <v>6</v>
      </c>
      <c r="E612" s="6" t="b">
        <f t="shared" si="29"/>
        <v>0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30"/>
        <v>Involuntary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28"/>
        <v>24</v>
      </c>
      <c r="E613" s="6" t="str">
        <f t="shared" si="29"/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30"/>
        <v>Involuntary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28"/>
        <v>22</v>
      </c>
      <c r="E614" s="6" t="str">
        <f t="shared" si="29"/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30"/>
        <v>Involuntary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28"/>
        <v>10</v>
      </c>
      <c r="E615" s="6" t="b">
        <f t="shared" si="29"/>
        <v>0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30"/>
        <v>Involuntary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28"/>
        <v>22</v>
      </c>
      <c r="E616" s="6" t="str">
        <f t="shared" si="29"/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30"/>
        <v>Involuntary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28"/>
        <v>15</v>
      </c>
      <c r="E617" s="6" t="str">
        <f t="shared" si="29"/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30"/>
        <v>Involuntary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28"/>
        <v>10</v>
      </c>
      <c r="E618" s="6" t="b">
        <f t="shared" si="29"/>
        <v>0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30"/>
        <v>Involuntary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28"/>
        <v>27</v>
      </c>
      <c r="E619" s="6" t="str">
        <f t="shared" si="29"/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30"/>
        <v>Involuntary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28"/>
        <v>7</v>
      </c>
      <c r="E620" s="6" t="b">
        <f t="shared" si="29"/>
        <v>0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30"/>
        <v>Involuntary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28"/>
        <v>10</v>
      </c>
      <c r="E621" s="6" t="b">
        <f t="shared" si="29"/>
        <v>0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30"/>
        <v>Involuntary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28"/>
        <v>22</v>
      </c>
      <c r="E622" s="6" t="str">
        <f t="shared" si="29"/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30"/>
        <v>Involuntary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28"/>
        <v>10</v>
      </c>
      <c r="E623" s="6" t="b">
        <f t="shared" si="29"/>
        <v>0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30"/>
        <v>Involuntary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28"/>
        <v>26</v>
      </c>
      <c r="E624" s="6" t="str">
        <f t="shared" si="29"/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30"/>
        <v>Involuntary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28"/>
        <v>13</v>
      </c>
      <c r="E625" s="6" t="str">
        <f t="shared" si="29"/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30"/>
        <v>Involuntary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28"/>
        <v>10</v>
      </c>
      <c r="E626" s="6" t="b">
        <f t="shared" si="29"/>
        <v>0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30"/>
        <v>Involuntary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28"/>
        <v>30</v>
      </c>
      <c r="E627" s="6" t="str">
        <f t="shared" si="29"/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30"/>
        <v>Involuntary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28"/>
        <v>12</v>
      </c>
      <c r="E628" s="6" t="str">
        <f t="shared" si="29"/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30"/>
        <v>Involuntary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28"/>
        <v>15</v>
      </c>
      <c r="E629" s="6" t="str">
        <f t="shared" si="29"/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30"/>
        <v>Involuntary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28"/>
        <v>7</v>
      </c>
      <c r="E630" s="6" t="b">
        <f t="shared" si="29"/>
        <v>0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30"/>
        <v>Involuntary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28"/>
        <v>14</v>
      </c>
      <c r="E631" s="6" t="str">
        <f t="shared" si="29"/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30"/>
        <v>Involuntary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28"/>
        <v>19</v>
      </c>
      <c r="E632" s="6" t="str">
        <f t="shared" si="29"/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30"/>
        <v>Voluntary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28"/>
        <v>7</v>
      </c>
      <c r="E633" s="6" t="b">
        <f t="shared" si="29"/>
        <v>0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30"/>
        <v>Involuntary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28"/>
        <v>20</v>
      </c>
      <c r="E634" s="6" t="str">
        <f t="shared" si="29"/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30"/>
        <v>Involuntary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28"/>
        <v>19</v>
      </c>
      <c r="E635" s="6" t="str">
        <f t="shared" si="29"/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30"/>
        <v>Involuntary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28"/>
        <v>21</v>
      </c>
      <c r="E636" s="6" t="str">
        <f t="shared" si="29"/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30"/>
        <v>Involuntary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28"/>
        <v>17</v>
      </c>
      <c r="E637" s="6" t="str">
        <f t="shared" si="29"/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30"/>
        <v>Involuntary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28"/>
        <v>26</v>
      </c>
      <c r="E638" s="6" t="str">
        <f t="shared" si="29"/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30"/>
        <v>Involuntary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28"/>
        <v>21</v>
      </c>
      <c r="E639" s="6" t="str">
        <f t="shared" si="29"/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30"/>
        <v>Involuntary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28"/>
        <v>26</v>
      </c>
      <c r="E640" s="6" t="str">
        <f t="shared" si="29"/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30"/>
        <v>Involuntary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28"/>
        <v>25</v>
      </c>
      <c r="E641" s="6" t="str">
        <f t="shared" si="29"/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30"/>
        <v>Involuntary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28"/>
        <v>13</v>
      </c>
      <c r="E642" s="6" t="str">
        <f t="shared" si="29"/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30"/>
        <v>Involuntary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31">YEAR(C643)-YEAR(B643)</f>
        <v>24</v>
      </c>
      <c r="E643" s="6" t="str">
        <f t="shared" ref="E643:E706" si="32">IF(D643&lt;=5,"NEWCOMER",IF(D643&gt;10,"EXPERT"))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si="30"/>
        <v>Involuntary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31"/>
        <v>25</v>
      </c>
      <c r="E644" s="6" t="str">
        <f t="shared" si="32"/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ref="M644:M707" si="33">IF(OR(L644="Resignation", L644="Retirement"), "Voluntary", IF(L644="Layoff", "Involuntary", "Other"))</f>
        <v>Involuntary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31"/>
        <v>30</v>
      </c>
      <c r="E645" s="6" t="str">
        <f t="shared" si="32"/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33"/>
        <v>Involuntary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31"/>
        <v>17</v>
      </c>
      <c r="E646" s="6" t="str">
        <f t="shared" si="32"/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33"/>
        <v>Involuntary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31"/>
        <v>24</v>
      </c>
      <c r="E647" s="6" t="str">
        <f t="shared" si="32"/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si="33"/>
        <v>Involuntary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31"/>
        <v>25</v>
      </c>
      <c r="E648" s="6" t="str">
        <f t="shared" si="32"/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33"/>
        <v>Involuntary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31"/>
        <v>10</v>
      </c>
      <c r="E649" s="6" t="b">
        <f t="shared" si="32"/>
        <v>0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33"/>
        <v>Involuntary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31"/>
        <v>11</v>
      </c>
      <c r="E650" s="6" t="str">
        <f t="shared" si="32"/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33"/>
        <v>Involuntary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31"/>
        <v>24</v>
      </c>
      <c r="E651" s="6" t="str">
        <f t="shared" si="32"/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33"/>
        <v>Voluntary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31"/>
        <v>20</v>
      </c>
      <c r="E652" s="6" t="str">
        <f t="shared" si="32"/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33"/>
        <v>Involuntary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31"/>
        <v>18</v>
      </c>
      <c r="E653" s="6" t="str">
        <f t="shared" si="32"/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33"/>
        <v>Involuntary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31"/>
        <v>7</v>
      </c>
      <c r="E654" s="6" t="b">
        <f t="shared" si="32"/>
        <v>0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33"/>
        <v>Involuntary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31"/>
        <v>14</v>
      </c>
      <c r="E655" s="6" t="str">
        <f t="shared" si="32"/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33"/>
        <v>Involuntary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31"/>
        <v>20</v>
      </c>
      <c r="E656" s="6" t="str">
        <f t="shared" si="32"/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33"/>
        <v>Involuntary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31"/>
        <v>29</v>
      </c>
      <c r="E657" s="6" t="str">
        <f t="shared" si="32"/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33"/>
        <v>Involuntary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31"/>
        <v>7</v>
      </c>
      <c r="E658" s="6" t="b">
        <f t="shared" si="32"/>
        <v>0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33"/>
        <v>Involuntary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31"/>
        <v>21</v>
      </c>
      <c r="E659" s="6" t="str">
        <f t="shared" si="32"/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33"/>
        <v>Involuntary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31"/>
        <v>23</v>
      </c>
      <c r="E660" s="6" t="str">
        <f t="shared" si="32"/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33"/>
        <v>Involuntary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31"/>
        <v>11</v>
      </c>
      <c r="E661" s="6" t="str">
        <f t="shared" si="32"/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33"/>
        <v>Involuntary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31"/>
        <v>8</v>
      </c>
      <c r="E662" s="6" t="b">
        <f t="shared" si="32"/>
        <v>0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33"/>
        <v>Involuntary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31"/>
        <v>8</v>
      </c>
      <c r="E663" s="6" t="b">
        <f t="shared" si="32"/>
        <v>0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33"/>
        <v>Involuntary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31"/>
        <v>6</v>
      </c>
      <c r="E664" s="6" t="b">
        <f t="shared" si="32"/>
        <v>0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33"/>
        <v>Involuntary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31"/>
        <v>11</v>
      </c>
      <c r="E665" s="6" t="str">
        <f t="shared" si="32"/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33"/>
        <v>Involuntary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31"/>
        <v>19</v>
      </c>
      <c r="E666" s="6" t="str">
        <f t="shared" si="32"/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33"/>
        <v>Voluntary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31"/>
        <v>12</v>
      </c>
      <c r="E667" s="6" t="str">
        <f t="shared" si="32"/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33"/>
        <v>Involuntary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31"/>
        <v>22</v>
      </c>
      <c r="E668" s="6" t="str">
        <f t="shared" si="32"/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33"/>
        <v>Involuntary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31"/>
        <v>29</v>
      </c>
      <c r="E669" s="6" t="str">
        <f t="shared" si="32"/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33"/>
        <v>Involuntary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31"/>
        <v>6</v>
      </c>
      <c r="E670" s="6" t="b">
        <f t="shared" si="32"/>
        <v>0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33"/>
        <v>Involuntary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31"/>
        <v>30</v>
      </c>
      <c r="E671" s="6" t="str">
        <f t="shared" si="32"/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33"/>
        <v>Involuntary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31"/>
        <v>29</v>
      </c>
      <c r="E672" s="6" t="str">
        <f t="shared" si="32"/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33"/>
        <v>Voluntary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31"/>
        <v>15</v>
      </c>
      <c r="E673" s="6" t="str">
        <f t="shared" si="32"/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33"/>
        <v>Involuntary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31"/>
        <v>18</v>
      </c>
      <c r="E674" s="6" t="str">
        <f t="shared" si="32"/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33"/>
        <v>Involuntary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31"/>
        <v>19</v>
      </c>
      <c r="E675" s="6" t="str">
        <f t="shared" si="32"/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33"/>
        <v>Involuntary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31"/>
        <v>21</v>
      </c>
      <c r="E676" s="6" t="str">
        <f t="shared" si="32"/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33"/>
        <v>Involuntary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31"/>
        <v>28</v>
      </c>
      <c r="E677" s="6" t="str">
        <f t="shared" si="32"/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33"/>
        <v>Involuntary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31"/>
        <v>22</v>
      </c>
      <c r="E678" s="6" t="str">
        <f t="shared" si="32"/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33"/>
        <v>Involuntary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31"/>
        <v>17</v>
      </c>
      <c r="E679" s="6" t="str">
        <f t="shared" si="32"/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33"/>
        <v>Involuntary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31"/>
        <v>15</v>
      </c>
      <c r="E680" s="6" t="str">
        <f t="shared" si="32"/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33"/>
        <v>Involuntary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31"/>
        <v>7</v>
      </c>
      <c r="E681" s="6" t="b">
        <f t="shared" si="32"/>
        <v>0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33"/>
        <v>Involuntary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31"/>
        <v>15</v>
      </c>
      <c r="E682" s="6" t="str">
        <f t="shared" si="32"/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33"/>
        <v>Involuntary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31"/>
        <v>26</v>
      </c>
      <c r="E683" s="6" t="str">
        <f t="shared" si="32"/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33"/>
        <v>Involuntary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31"/>
        <v>18</v>
      </c>
      <c r="E684" s="6" t="str">
        <f t="shared" si="32"/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33"/>
        <v>Involuntary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31"/>
        <v>24</v>
      </c>
      <c r="E685" s="6" t="str">
        <f t="shared" si="32"/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33"/>
        <v>Involuntary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31"/>
        <v>27</v>
      </c>
      <c r="E686" s="6" t="str">
        <f t="shared" si="32"/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33"/>
        <v>Voluntary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31"/>
        <v>9</v>
      </c>
      <c r="E687" s="6" t="b">
        <f t="shared" si="32"/>
        <v>0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33"/>
        <v>Voluntary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31"/>
        <v>18</v>
      </c>
      <c r="E688" s="6" t="str">
        <f t="shared" si="32"/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33"/>
        <v>Involuntary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31"/>
        <v>30</v>
      </c>
      <c r="E689" s="6" t="str">
        <f t="shared" si="32"/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33"/>
        <v>Involuntary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31"/>
        <v>7</v>
      </c>
      <c r="E690" s="6" t="b">
        <f t="shared" si="32"/>
        <v>0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33"/>
        <v>Involuntary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31"/>
        <v>22</v>
      </c>
      <c r="E691" s="6" t="str">
        <f t="shared" si="32"/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33"/>
        <v>Involuntary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31"/>
        <v>13</v>
      </c>
      <c r="E692" s="6" t="str">
        <f t="shared" si="32"/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33"/>
        <v>Involuntary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31"/>
        <v>14</v>
      </c>
      <c r="E693" s="6" t="str">
        <f t="shared" si="32"/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33"/>
        <v>Involuntary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31"/>
        <v>28</v>
      </c>
      <c r="E694" s="6" t="str">
        <f t="shared" si="32"/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33"/>
        <v>Involuntary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31"/>
        <v>22</v>
      </c>
      <c r="E695" s="6" t="str">
        <f t="shared" si="32"/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33"/>
        <v>Involuntary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31"/>
        <v>7</v>
      </c>
      <c r="E696" s="6" t="b">
        <f t="shared" si="32"/>
        <v>0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33"/>
        <v>Involuntary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31"/>
        <v>30</v>
      </c>
      <c r="E697" s="6" t="str">
        <f t="shared" si="32"/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33"/>
        <v>Involuntary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31"/>
        <v>14</v>
      </c>
      <c r="E698" s="6" t="str">
        <f t="shared" si="32"/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33"/>
        <v>Involuntary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31"/>
        <v>9</v>
      </c>
      <c r="E699" s="6" t="b">
        <f t="shared" si="32"/>
        <v>0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33"/>
        <v>Involuntary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31"/>
        <v>20</v>
      </c>
      <c r="E700" s="6" t="str">
        <f t="shared" si="32"/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33"/>
        <v>Involuntary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31"/>
        <v>24</v>
      </c>
      <c r="E701" s="6" t="str">
        <f t="shared" si="32"/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33"/>
        <v>Involuntary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31"/>
        <v>14</v>
      </c>
      <c r="E702" s="6" t="str">
        <f t="shared" si="32"/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33"/>
        <v>Voluntary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31"/>
        <v>30</v>
      </c>
      <c r="E703" s="6" t="str">
        <f t="shared" si="32"/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33"/>
        <v>Involuntary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31"/>
        <v>17</v>
      </c>
      <c r="E704" s="6" t="str">
        <f t="shared" si="32"/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33"/>
        <v>Involuntary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31"/>
        <v>7</v>
      </c>
      <c r="E705" s="6" t="b">
        <f t="shared" si="32"/>
        <v>0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33"/>
        <v>Involuntary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31"/>
        <v>21</v>
      </c>
      <c r="E706" s="6" t="str">
        <f t="shared" si="32"/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33"/>
        <v>Involuntary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34">YEAR(C707)-YEAR(B707)</f>
        <v>23</v>
      </c>
      <c r="E707" s="6" t="str">
        <f t="shared" ref="E707:E770" si="35">IF(D707&lt;=5,"NEWCOMER",IF(D707&gt;10,"EXPERT"))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si="33"/>
        <v>Involuntary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34"/>
        <v>6</v>
      </c>
      <c r="E708" s="6" t="b">
        <f t="shared" si="35"/>
        <v>0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ref="M708:M771" si="36">IF(OR(L708="Resignation", L708="Retirement"), "Voluntary", IF(L708="Layoff", "Involuntary", "Other"))</f>
        <v>Involuntary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34"/>
        <v>8</v>
      </c>
      <c r="E709" s="6" t="b">
        <f t="shared" si="35"/>
        <v>0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36"/>
        <v>Involuntary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34"/>
        <v>24</v>
      </c>
      <c r="E710" s="6" t="str">
        <f t="shared" si="35"/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36"/>
        <v>Voluntary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34"/>
        <v>11</v>
      </c>
      <c r="E711" s="6" t="str">
        <f t="shared" si="35"/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si="36"/>
        <v>Involuntary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34"/>
        <v>7</v>
      </c>
      <c r="E712" s="6" t="b">
        <f t="shared" si="35"/>
        <v>0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36"/>
        <v>Involuntary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34"/>
        <v>12</v>
      </c>
      <c r="E713" s="6" t="str">
        <f t="shared" si="35"/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36"/>
        <v>Voluntary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34"/>
        <v>7</v>
      </c>
      <c r="E714" s="6" t="b">
        <f t="shared" si="35"/>
        <v>0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36"/>
        <v>Involuntary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34"/>
        <v>23</v>
      </c>
      <c r="E715" s="6" t="str">
        <f t="shared" si="35"/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36"/>
        <v>Involuntary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34"/>
        <v>17</v>
      </c>
      <c r="E716" s="6" t="str">
        <f t="shared" si="35"/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36"/>
        <v>Involuntary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34"/>
        <v>15</v>
      </c>
      <c r="E717" s="6" t="str">
        <f t="shared" si="35"/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36"/>
        <v>Involuntary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34"/>
        <v>9</v>
      </c>
      <c r="E718" s="6" t="b">
        <f t="shared" si="35"/>
        <v>0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36"/>
        <v>Involuntary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34"/>
        <v>24</v>
      </c>
      <c r="E719" s="6" t="str">
        <f t="shared" si="35"/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36"/>
        <v>Involuntary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34"/>
        <v>19</v>
      </c>
      <c r="E720" s="6" t="str">
        <f t="shared" si="35"/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36"/>
        <v>Involuntary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34"/>
        <v>15</v>
      </c>
      <c r="E721" s="6" t="str">
        <f t="shared" si="35"/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36"/>
        <v>Involuntary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34"/>
        <v>16</v>
      </c>
      <c r="E722" s="6" t="str">
        <f t="shared" si="35"/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36"/>
        <v>Involuntary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34"/>
        <v>27</v>
      </c>
      <c r="E723" s="6" t="str">
        <f t="shared" si="35"/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36"/>
        <v>Involuntary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34"/>
        <v>5</v>
      </c>
      <c r="E724" s="6" t="str">
        <f t="shared" si="35"/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36"/>
        <v>Involuntary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34"/>
        <v>25</v>
      </c>
      <c r="E725" s="6" t="str">
        <f t="shared" si="35"/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36"/>
        <v>Involuntary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34"/>
        <v>13</v>
      </c>
      <c r="E726" s="6" t="str">
        <f t="shared" si="35"/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36"/>
        <v>Involuntary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34"/>
        <v>17</v>
      </c>
      <c r="E727" s="6" t="str">
        <f t="shared" si="35"/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36"/>
        <v>Involuntary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34"/>
        <v>24</v>
      </c>
      <c r="E728" s="6" t="str">
        <f t="shared" si="35"/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36"/>
        <v>Involuntary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34"/>
        <v>21</v>
      </c>
      <c r="E729" s="6" t="str">
        <f t="shared" si="35"/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36"/>
        <v>Involuntary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34"/>
        <v>15</v>
      </c>
      <c r="E730" s="6" t="str">
        <f t="shared" si="35"/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36"/>
        <v>Involuntary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34"/>
        <v>21</v>
      </c>
      <c r="E731" s="6" t="str">
        <f t="shared" si="35"/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36"/>
        <v>Involuntary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34"/>
        <v>28</v>
      </c>
      <c r="E732" s="6" t="str">
        <f t="shared" si="35"/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36"/>
        <v>Involuntary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34"/>
        <v>8</v>
      </c>
      <c r="E733" s="6" t="b">
        <f t="shared" si="35"/>
        <v>0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36"/>
        <v>Involuntary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34"/>
        <v>18</v>
      </c>
      <c r="E734" s="6" t="str">
        <f t="shared" si="35"/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36"/>
        <v>Involuntary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34"/>
        <v>20</v>
      </c>
      <c r="E735" s="6" t="str">
        <f t="shared" si="35"/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36"/>
        <v>Involuntary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34"/>
        <v>11</v>
      </c>
      <c r="E736" s="6" t="str">
        <f t="shared" si="35"/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36"/>
        <v>Involuntary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34"/>
        <v>15</v>
      </c>
      <c r="E737" s="6" t="str">
        <f t="shared" si="35"/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36"/>
        <v>Involuntary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34"/>
        <v>17</v>
      </c>
      <c r="E738" s="6" t="str">
        <f t="shared" si="35"/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36"/>
        <v>Voluntary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34"/>
        <v>23</v>
      </c>
      <c r="E739" s="6" t="str">
        <f t="shared" si="35"/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36"/>
        <v>Involuntary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34"/>
        <v>20</v>
      </c>
      <c r="E740" s="6" t="str">
        <f t="shared" si="35"/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36"/>
        <v>Involuntary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34"/>
        <v>28</v>
      </c>
      <c r="E741" s="6" t="str">
        <f t="shared" si="35"/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36"/>
        <v>Involuntary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34"/>
        <v>24</v>
      </c>
      <c r="E742" s="6" t="str">
        <f t="shared" si="35"/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36"/>
        <v>Involuntary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34"/>
        <v>28</v>
      </c>
      <c r="E743" s="6" t="str">
        <f t="shared" si="35"/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36"/>
        <v>Involuntary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34"/>
        <v>27</v>
      </c>
      <c r="E744" s="6" t="str">
        <f t="shared" si="35"/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36"/>
        <v>Involuntary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34"/>
        <v>27</v>
      </c>
      <c r="E745" s="6" t="str">
        <f t="shared" si="35"/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36"/>
        <v>Involuntary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34"/>
        <v>17</v>
      </c>
      <c r="E746" s="6" t="str">
        <f t="shared" si="35"/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36"/>
        <v>Involuntary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34"/>
        <v>26</v>
      </c>
      <c r="E747" s="6" t="str">
        <f t="shared" si="35"/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36"/>
        <v>Involuntary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34"/>
        <v>18</v>
      </c>
      <c r="E748" s="6" t="str">
        <f t="shared" si="35"/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36"/>
        <v>Involuntary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34"/>
        <v>29</v>
      </c>
      <c r="E749" s="6" t="str">
        <f t="shared" si="35"/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36"/>
        <v>Involuntary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34"/>
        <v>16</v>
      </c>
      <c r="E750" s="6" t="str">
        <f t="shared" si="35"/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36"/>
        <v>Involuntary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34"/>
        <v>22</v>
      </c>
      <c r="E751" s="6" t="str">
        <f t="shared" si="35"/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36"/>
        <v>Involuntary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34"/>
        <v>7</v>
      </c>
      <c r="E752" s="6" t="b">
        <f t="shared" si="35"/>
        <v>0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36"/>
        <v>Involuntary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34"/>
        <v>14</v>
      </c>
      <c r="E753" s="6" t="str">
        <f t="shared" si="35"/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36"/>
        <v>Involuntary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34"/>
        <v>18</v>
      </c>
      <c r="E754" s="6" t="str">
        <f t="shared" si="35"/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36"/>
        <v>Involuntary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34"/>
        <v>13</v>
      </c>
      <c r="E755" s="6" t="str">
        <f t="shared" si="35"/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36"/>
        <v>Voluntary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34"/>
        <v>22</v>
      </c>
      <c r="E756" s="6" t="str">
        <f t="shared" si="35"/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36"/>
        <v>Involuntary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34"/>
        <v>6</v>
      </c>
      <c r="E757" s="6" t="b">
        <f t="shared" si="35"/>
        <v>0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36"/>
        <v>Involuntary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34"/>
        <v>20</v>
      </c>
      <c r="E758" s="6" t="str">
        <f t="shared" si="35"/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36"/>
        <v>Involuntary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34"/>
        <v>9</v>
      </c>
      <c r="E759" s="6" t="b">
        <f t="shared" si="35"/>
        <v>0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36"/>
        <v>Involuntary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34"/>
        <v>28</v>
      </c>
      <c r="E760" s="6" t="str">
        <f t="shared" si="35"/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36"/>
        <v>Involuntary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34"/>
        <v>25</v>
      </c>
      <c r="E761" s="6" t="str">
        <f t="shared" si="35"/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36"/>
        <v>Involuntary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34"/>
        <v>17</v>
      </c>
      <c r="E762" s="6" t="str">
        <f t="shared" si="35"/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36"/>
        <v>Involuntary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34"/>
        <v>8</v>
      </c>
      <c r="E763" s="6" t="b">
        <f t="shared" si="35"/>
        <v>0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36"/>
        <v>Involuntary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34"/>
        <v>7</v>
      </c>
      <c r="E764" s="6" t="b">
        <f t="shared" si="35"/>
        <v>0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36"/>
        <v>Involuntary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34"/>
        <v>8</v>
      </c>
      <c r="E765" s="6" t="b">
        <f t="shared" si="35"/>
        <v>0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36"/>
        <v>Involuntary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34"/>
        <v>30</v>
      </c>
      <c r="E766" s="6" t="str">
        <f t="shared" si="35"/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36"/>
        <v>Involuntary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34"/>
        <v>22</v>
      </c>
      <c r="E767" s="6" t="str">
        <f t="shared" si="35"/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36"/>
        <v>Involuntary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34"/>
        <v>11</v>
      </c>
      <c r="E768" s="6" t="str">
        <f t="shared" si="35"/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36"/>
        <v>Involuntary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34"/>
        <v>11</v>
      </c>
      <c r="E769" s="6" t="str">
        <f t="shared" si="35"/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36"/>
        <v>Involuntary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34"/>
        <v>7</v>
      </c>
      <c r="E770" s="6" t="b">
        <f t="shared" si="35"/>
        <v>0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36"/>
        <v>Involuntary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37">YEAR(C771)-YEAR(B771)</f>
        <v>16</v>
      </c>
      <c r="E771" s="6" t="str">
        <f t="shared" ref="E771:E834" si="38">IF(D771&lt;=5,"NEWCOMER",IF(D771&gt;10,"EXPERT"))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si="36"/>
        <v>Involuntary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37"/>
        <v>24</v>
      </c>
      <c r="E772" s="6" t="str">
        <f t="shared" si="38"/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ref="M772:M835" si="39">IF(OR(L772="Resignation", L772="Retirement"), "Voluntary", IF(L772="Layoff", "Involuntary", "Other"))</f>
        <v>Involuntary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37"/>
        <v>7</v>
      </c>
      <c r="E773" s="6" t="b">
        <f t="shared" si="38"/>
        <v>0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39"/>
        <v>Involuntary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37"/>
        <v>25</v>
      </c>
      <c r="E774" s="6" t="str">
        <f t="shared" si="38"/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39"/>
        <v>Involuntary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37"/>
        <v>12</v>
      </c>
      <c r="E775" s="6" t="str">
        <f t="shared" si="38"/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si="39"/>
        <v>Involuntary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37"/>
        <v>6</v>
      </c>
      <c r="E776" s="6" t="b">
        <f t="shared" si="38"/>
        <v>0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39"/>
        <v>Involuntary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37"/>
        <v>22</v>
      </c>
      <c r="E777" s="6" t="str">
        <f t="shared" si="38"/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39"/>
        <v>Involuntary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37"/>
        <v>18</v>
      </c>
      <c r="E778" s="6" t="str">
        <f t="shared" si="38"/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39"/>
        <v>Involuntary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37"/>
        <v>16</v>
      </c>
      <c r="E779" s="6" t="str">
        <f t="shared" si="38"/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39"/>
        <v>Involuntary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37"/>
        <v>7</v>
      </c>
      <c r="E780" s="6" t="b">
        <f t="shared" si="38"/>
        <v>0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39"/>
        <v>Involuntary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37"/>
        <v>17</v>
      </c>
      <c r="E781" s="6" t="str">
        <f t="shared" si="38"/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39"/>
        <v>Involuntary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37"/>
        <v>28</v>
      </c>
      <c r="E782" s="6" t="str">
        <f t="shared" si="38"/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39"/>
        <v>Involuntary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37"/>
        <v>26</v>
      </c>
      <c r="E783" s="6" t="str">
        <f t="shared" si="38"/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39"/>
        <v>Involuntary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37"/>
        <v>25</v>
      </c>
      <c r="E784" s="6" t="str">
        <f t="shared" si="38"/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39"/>
        <v>Involuntary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37"/>
        <v>25</v>
      </c>
      <c r="E785" s="6" t="str">
        <f t="shared" si="38"/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39"/>
        <v>Involuntary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37"/>
        <v>17</v>
      </c>
      <c r="E786" s="6" t="str">
        <f t="shared" si="38"/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39"/>
        <v>Involuntary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37"/>
        <v>21</v>
      </c>
      <c r="E787" s="6" t="str">
        <f t="shared" si="38"/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39"/>
        <v>Involuntary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37"/>
        <v>19</v>
      </c>
      <c r="E788" s="6" t="str">
        <f t="shared" si="38"/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39"/>
        <v>Involuntary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37"/>
        <v>22</v>
      </c>
      <c r="E789" s="6" t="str">
        <f t="shared" si="38"/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39"/>
        <v>Involuntary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37"/>
        <v>17</v>
      </c>
      <c r="E790" s="6" t="str">
        <f t="shared" si="38"/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39"/>
        <v>Involuntary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37"/>
        <v>24</v>
      </c>
      <c r="E791" s="6" t="str">
        <f t="shared" si="38"/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39"/>
        <v>Involuntary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37"/>
        <v>8</v>
      </c>
      <c r="E792" s="6" t="b">
        <f t="shared" si="38"/>
        <v>0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39"/>
        <v>Involuntary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37"/>
        <v>8</v>
      </c>
      <c r="E793" s="6" t="b">
        <f t="shared" si="38"/>
        <v>0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39"/>
        <v>Involuntary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37"/>
        <v>12</v>
      </c>
      <c r="E794" s="6" t="str">
        <f t="shared" si="38"/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39"/>
        <v>Involuntary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37"/>
        <v>28</v>
      </c>
      <c r="E795" s="6" t="str">
        <f t="shared" si="38"/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39"/>
        <v>Involuntary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37"/>
        <v>16</v>
      </c>
      <c r="E796" s="6" t="str">
        <f t="shared" si="38"/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39"/>
        <v>Involuntary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37"/>
        <v>30</v>
      </c>
      <c r="E797" s="6" t="str">
        <f t="shared" si="38"/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39"/>
        <v>Involuntary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37"/>
        <v>5</v>
      </c>
      <c r="E798" s="6" t="str">
        <f t="shared" si="38"/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39"/>
        <v>Involuntary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37"/>
        <v>7</v>
      </c>
      <c r="E799" s="6" t="b">
        <f t="shared" si="38"/>
        <v>0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39"/>
        <v>Involuntary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37"/>
        <v>23</v>
      </c>
      <c r="E800" s="6" t="str">
        <f t="shared" si="38"/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39"/>
        <v>Involuntary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37"/>
        <v>7</v>
      </c>
      <c r="E801" s="6" t="b">
        <f t="shared" si="38"/>
        <v>0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39"/>
        <v>Involuntary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37"/>
        <v>9</v>
      </c>
      <c r="E802" s="6" t="b">
        <f t="shared" si="38"/>
        <v>0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39"/>
        <v>Involuntary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37"/>
        <v>28</v>
      </c>
      <c r="E803" s="6" t="str">
        <f t="shared" si="38"/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39"/>
        <v>Involuntary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37"/>
        <v>10</v>
      </c>
      <c r="E804" s="6" t="b">
        <f t="shared" si="38"/>
        <v>0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39"/>
        <v>Involuntary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37"/>
        <v>14</v>
      </c>
      <c r="E805" s="6" t="str">
        <f t="shared" si="38"/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39"/>
        <v>Involuntary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37"/>
        <v>25</v>
      </c>
      <c r="E806" s="6" t="str">
        <f t="shared" si="38"/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39"/>
        <v>Involuntary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37"/>
        <v>16</v>
      </c>
      <c r="E807" s="6" t="str">
        <f t="shared" si="38"/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39"/>
        <v>Involuntary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37"/>
        <v>14</v>
      </c>
      <c r="E808" s="6" t="str">
        <f t="shared" si="38"/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39"/>
        <v>Involuntary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37"/>
        <v>13</v>
      </c>
      <c r="E809" s="6" t="str">
        <f t="shared" si="38"/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39"/>
        <v>Involuntary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37"/>
        <v>8</v>
      </c>
      <c r="E810" s="6" t="b">
        <f t="shared" si="38"/>
        <v>0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39"/>
        <v>Involuntary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37"/>
        <v>15</v>
      </c>
      <c r="E811" s="6" t="str">
        <f t="shared" si="38"/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39"/>
        <v>Involuntary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37"/>
        <v>28</v>
      </c>
      <c r="E812" s="6" t="str">
        <f t="shared" si="38"/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39"/>
        <v>Involuntary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37"/>
        <v>19</v>
      </c>
      <c r="E813" s="6" t="str">
        <f t="shared" si="38"/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39"/>
        <v>Involuntary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37"/>
        <v>11</v>
      </c>
      <c r="E814" s="6" t="str">
        <f t="shared" si="38"/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39"/>
        <v>Involuntary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37"/>
        <v>18</v>
      </c>
      <c r="E815" s="6" t="str">
        <f t="shared" si="38"/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39"/>
        <v>Involuntary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37"/>
        <v>6</v>
      </c>
      <c r="E816" s="6" t="b">
        <f t="shared" si="38"/>
        <v>0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39"/>
        <v>Involuntary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37"/>
        <v>23</v>
      </c>
      <c r="E817" s="6" t="str">
        <f t="shared" si="38"/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39"/>
        <v>Involuntary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37"/>
        <v>27</v>
      </c>
      <c r="E818" s="6" t="str">
        <f t="shared" si="38"/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39"/>
        <v>Involuntary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37"/>
        <v>14</v>
      </c>
      <c r="E819" s="6" t="str">
        <f t="shared" si="38"/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39"/>
        <v>Involuntary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37"/>
        <v>27</v>
      </c>
      <c r="E820" s="6" t="str">
        <f t="shared" si="38"/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39"/>
        <v>Involuntary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37"/>
        <v>21</v>
      </c>
      <c r="E821" s="6" t="str">
        <f t="shared" si="38"/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39"/>
        <v>Involuntary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37"/>
        <v>21</v>
      </c>
      <c r="E822" s="6" t="str">
        <f t="shared" si="38"/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39"/>
        <v>Involuntary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37"/>
        <v>16</v>
      </c>
      <c r="E823" s="6" t="str">
        <f t="shared" si="38"/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39"/>
        <v>Involuntary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37"/>
        <v>5</v>
      </c>
      <c r="E824" s="6" t="str">
        <f t="shared" si="38"/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39"/>
        <v>Involuntary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37"/>
        <v>22</v>
      </c>
      <c r="E825" s="6" t="str">
        <f t="shared" si="38"/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39"/>
        <v>Involuntary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37"/>
        <v>30</v>
      </c>
      <c r="E826" s="6" t="str">
        <f t="shared" si="38"/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39"/>
        <v>Involuntary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37"/>
        <v>5</v>
      </c>
      <c r="E827" s="6" t="str">
        <f t="shared" si="38"/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39"/>
        <v>Involuntary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37"/>
        <v>23</v>
      </c>
      <c r="E828" s="6" t="str">
        <f t="shared" si="38"/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39"/>
        <v>Involuntary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37"/>
        <v>30</v>
      </c>
      <c r="E829" s="6" t="str">
        <f t="shared" si="38"/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39"/>
        <v>Involuntary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37"/>
        <v>13</v>
      </c>
      <c r="E830" s="6" t="str">
        <f t="shared" si="38"/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39"/>
        <v>Involuntary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37"/>
        <v>16</v>
      </c>
      <c r="E831" s="6" t="str">
        <f t="shared" si="38"/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39"/>
        <v>Involuntary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37"/>
        <v>27</v>
      </c>
      <c r="E832" s="6" t="str">
        <f t="shared" si="38"/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39"/>
        <v>Involuntary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37"/>
        <v>16</v>
      </c>
      <c r="E833" s="6" t="str">
        <f t="shared" si="38"/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39"/>
        <v>Involuntary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37"/>
        <v>26</v>
      </c>
      <c r="E834" s="6" t="str">
        <f t="shared" si="38"/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39"/>
        <v>Involuntary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40">YEAR(C835)-YEAR(B835)</f>
        <v>24</v>
      </c>
      <c r="E835" s="6" t="str">
        <f t="shared" ref="E835:E898" si="41">IF(D835&lt;=5,"NEWCOMER",IF(D835&gt;10,"EXPERT"))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si="39"/>
        <v>Involuntary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40"/>
        <v>8</v>
      </c>
      <c r="E836" s="6" t="b">
        <f t="shared" si="41"/>
        <v>0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ref="M836:M899" si="42">IF(OR(L836="Resignation", L836="Retirement"), "Voluntary", IF(L836="Layoff", "Involuntary", "Other"))</f>
        <v>Involuntary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40"/>
        <v>23</v>
      </c>
      <c r="E837" s="6" t="str">
        <f t="shared" si="41"/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42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40"/>
        <v>11</v>
      </c>
      <c r="E838" s="6" t="str">
        <f t="shared" si="41"/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42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40"/>
        <v>26</v>
      </c>
      <c r="E839" s="6" t="str">
        <f t="shared" si="41"/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si="42"/>
        <v>Involuntary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40"/>
        <v>9</v>
      </c>
      <c r="E840" s="6" t="b">
        <f t="shared" si="41"/>
        <v>0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42"/>
        <v>Involuntary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40"/>
        <v>6</v>
      </c>
      <c r="E841" s="6" t="b">
        <f t="shared" si="41"/>
        <v>0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42"/>
        <v>Involuntary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40"/>
        <v>30</v>
      </c>
      <c r="E842" s="6" t="str">
        <f t="shared" si="41"/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42"/>
        <v>Involuntary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40"/>
        <v>19</v>
      </c>
      <c r="E843" s="6" t="str">
        <f t="shared" si="41"/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42"/>
        <v>Involuntary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40"/>
        <v>11</v>
      </c>
      <c r="E844" s="6" t="str">
        <f t="shared" si="41"/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42"/>
        <v>Involuntary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40"/>
        <v>25</v>
      </c>
      <c r="E845" s="6" t="str">
        <f t="shared" si="41"/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42"/>
        <v>Voluntary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40"/>
        <v>9</v>
      </c>
      <c r="E846" s="6" t="b">
        <f t="shared" si="41"/>
        <v>0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42"/>
        <v>Involuntary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40"/>
        <v>28</v>
      </c>
      <c r="E847" s="6" t="str">
        <f t="shared" si="41"/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42"/>
        <v>Involuntary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40"/>
        <v>16</v>
      </c>
      <c r="E848" s="6" t="str">
        <f t="shared" si="41"/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42"/>
        <v>Involuntary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40"/>
        <v>30</v>
      </c>
      <c r="E849" s="6" t="str">
        <f t="shared" si="41"/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42"/>
        <v>Involuntary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40"/>
        <v>15</v>
      </c>
      <c r="E850" s="6" t="str">
        <f t="shared" si="41"/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42"/>
        <v>Involuntary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40"/>
        <v>21</v>
      </c>
      <c r="E851" s="6" t="str">
        <f t="shared" si="41"/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42"/>
        <v>Involuntary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40"/>
        <v>15</v>
      </c>
      <c r="E852" s="6" t="str">
        <f t="shared" si="41"/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42"/>
        <v>Involuntary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40"/>
        <v>20</v>
      </c>
      <c r="E853" s="6" t="str">
        <f t="shared" si="41"/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42"/>
        <v>Involuntary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40"/>
        <v>28</v>
      </c>
      <c r="E854" s="6" t="str">
        <f t="shared" si="41"/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42"/>
        <v>Involuntary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40"/>
        <v>17</v>
      </c>
      <c r="E855" s="6" t="str">
        <f t="shared" si="41"/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42"/>
        <v>Involuntary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40"/>
        <v>15</v>
      </c>
      <c r="E856" s="6" t="str">
        <f t="shared" si="41"/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42"/>
        <v>Involuntary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40"/>
        <v>22</v>
      </c>
      <c r="E857" s="6" t="str">
        <f t="shared" si="41"/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42"/>
        <v>Involuntary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40"/>
        <v>10</v>
      </c>
      <c r="E858" s="6" t="b">
        <f t="shared" si="41"/>
        <v>0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42"/>
        <v>Involuntary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40"/>
        <v>10</v>
      </c>
      <c r="E859" s="6" t="b">
        <f t="shared" si="41"/>
        <v>0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42"/>
        <v>Involuntary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40"/>
        <v>30</v>
      </c>
      <c r="E860" s="6" t="str">
        <f t="shared" si="41"/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42"/>
        <v>Involuntary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40"/>
        <v>28</v>
      </c>
      <c r="E861" s="6" t="str">
        <f t="shared" si="41"/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42"/>
        <v>Involuntary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40"/>
        <v>8</v>
      </c>
      <c r="E862" s="6" t="b">
        <f t="shared" si="41"/>
        <v>0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42"/>
        <v>Involuntary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40"/>
        <v>25</v>
      </c>
      <c r="E863" s="6" t="str">
        <f t="shared" si="41"/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42"/>
        <v>Voluntary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40"/>
        <v>18</v>
      </c>
      <c r="E864" s="6" t="str">
        <f t="shared" si="41"/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42"/>
        <v>Involuntary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40"/>
        <v>21</v>
      </c>
      <c r="E865" s="6" t="str">
        <f t="shared" si="41"/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42"/>
        <v>Involuntary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40"/>
        <v>22</v>
      </c>
      <c r="E866" s="6" t="str">
        <f t="shared" si="41"/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42"/>
        <v>Involuntary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40"/>
        <v>5</v>
      </c>
      <c r="E867" s="6" t="str">
        <f t="shared" si="41"/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42"/>
        <v>Involuntary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40"/>
        <v>18</v>
      </c>
      <c r="E868" s="6" t="str">
        <f t="shared" si="41"/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42"/>
        <v>Involuntary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40"/>
        <v>29</v>
      </c>
      <c r="E869" s="6" t="str">
        <f t="shared" si="41"/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42"/>
        <v>Involuntary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40"/>
        <v>15</v>
      </c>
      <c r="E870" s="6" t="str">
        <f t="shared" si="41"/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42"/>
        <v>Involuntary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40"/>
        <v>5</v>
      </c>
      <c r="E871" s="6" t="str">
        <f t="shared" si="41"/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42"/>
        <v>Involuntary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40"/>
        <v>7</v>
      </c>
      <c r="E872" s="6" t="b">
        <f t="shared" si="41"/>
        <v>0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42"/>
        <v>Involuntary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40"/>
        <v>29</v>
      </c>
      <c r="E873" s="6" t="str">
        <f t="shared" si="41"/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42"/>
        <v>Involuntary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40"/>
        <v>13</v>
      </c>
      <c r="E874" s="6" t="str">
        <f t="shared" si="41"/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42"/>
        <v>Voluntary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40"/>
        <v>9</v>
      </c>
      <c r="E875" s="6" t="b">
        <f t="shared" si="41"/>
        <v>0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42"/>
        <v>Voluntary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40"/>
        <v>14</v>
      </c>
      <c r="E876" s="6" t="str">
        <f t="shared" si="41"/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42"/>
        <v>Involuntary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40"/>
        <v>26</v>
      </c>
      <c r="E877" s="6" t="str">
        <f t="shared" si="41"/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42"/>
        <v>Involuntary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40"/>
        <v>22</v>
      </c>
      <c r="E878" s="6" t="str">
        <f t="shared" si="41"/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42"/>
        <v>Involuntary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40"/>
        <v>7</v>
      </c>
      <c r="E879" s="6" t="b">
        <f t="shared" si="41"/>
        <v>0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42"/>
        <v>Involuntary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40"/>
        <v>22</v>
      </c>
      <c r="E880" s="6" t="str">
        <f t="shared" si="41"/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42"/>
        <v>Involuntary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40"/>
        <v>30</v>
      </c>
      <c r="E881" s="6" t="str">
        <f t="shared" si="41"/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42"/>
        <v>Involuntary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40"/>
        <v>26</v>
      </c>
      <c r="E882" s="6" t="str">
        <f t="shared" si="41"/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42"/>
        <v>Involuntary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40"/>
        <v>6</v>
      </c>
      <c r="E883" s="6" t="b">
        <f t="shared" si="41"/>
        <v>0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42"/>
        <v>Involuntary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40"/>
        <v>10</v>
      </c>
      <c r="E884" s="6" t="b">
        <f t="shared" si="41"/>
        <v>0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42"/>
        <v>Voluntary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40"/>
        <v>18</v>
      </c>
      <c r="E885" s="6" t="str">
        <f t="shared" si="41"/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42"/>
        <v>Involuntary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40"/>
        <v>25</v>
      </c>
      <c r="E886" s="6" t="str">
        <f t="shared" si="41"/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42"/>
        <v>Involuntary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40"/>
        <v>30</v>
      </c>
      <c r="E887" s="6" t="str">
        <f t="shared" si="41"/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42"/>
        <v>Involuntary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40"/>
        <v>18</v>
      </c>
      <c r="E888" s="6" t="str">
        <f t="shared" si="41"/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42"/>
        <v>Involuntary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40"/>
        <v>5</v>
      </c>
      <c r="E889" s="6" t="str">
        <f t="shared" si="41"/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42"/>
        <v>Involuntary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40"/>
        <v>16</v>
      </c>
      <c r="E890" s="6" t="str">
        <f t="shared" si="41"/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42"/>
        <v>Involuntary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40"/>
        <v>20</v>
      </c>
      <c r="E891" s="6" t="str">
        <f t="shared" si="41"/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42"/>
        <v>Involuntary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40"/>
        <v>12</v>
      </c>
      <c r="E892" s="6" t="str">
        <f t="shared" si="41"/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42"/>
        <v>Involuntary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40"/>
        <v>24</v>
      </c>
      <c r="E893" s="6" t="str">
        <f t="shared" si="41"/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42"/>
        <v>Involuntary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40"/>
        <v>19</v>
      </c>
      <c r="E894" s="6" t="str">
        <f t="shared" si="41"/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42"/>
        <v>Involuntary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40"/>
        <v>8</v>
      </c>
      <c r="E895" s="6" t="b">
        <f t="shared" si="41"/>
        <v>0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42"/>
        <v>Involuntary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40"/>
        <v>29</v>
      </c>
      <c r="E896" s="6" t="str">
        <f t="shared" si="41"/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42"/>
        <v>Voluntary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40"/>
        <v>10</v>
      </c>
      <c r="E897" s="6" t="b">
        <f t="shared" si="41"/>
        <v>0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42"/>
        <v>Involuntary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40"/>
        <v>30</v>
      </c>
      <c r="E898" s="6" t="str">
        <f t="shared" si="41"/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42"/>
        <v>Involuntary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43">YEAR(C899)-YEAR(B899)</f>
        <v>25</v>
      </c>
      <c r="E899" s="6" t="str">
        <f t="shared" ref="E899:E962" si="44">IF(D899&lt;=5,"NEWCOMER",IF(D899&gt;10,"EXPERT"))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si="42"/>
        <v>Involuntary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43"/>
        <v>17</v>
      </c>
      <c r="E900" s="6" t="str">
        <f t="shared" si="44"/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ref="M900:M963" si="45">IF(OR(L900="Resignation", L900="Retirement"), "Voluntary", IF(L900="Layoff", "Involuntary", "Other"))</f>
        <v>Voluntary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43"/>
        <v>24</v>
      </c>
      <c r="E901" s="6" t="str">
        <f t="shared" si="44"/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45"/>
        <v>Involuntary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43"/>
        <v>6</v>
      </c>
      <c r="E902" s="6" t="b">
        <f t="shared" si="44"/>
        <v>0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45"/>
        <v>Involuntary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43"/>
        <v>9</v>
      </c>
      <c r="E903" s="6" t="b">
        <f t="shared" si="44"/>
        <v>0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si="45"/>
        <v>Involuntary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43"/>
        <v>20</v>
      </c>
      <c r="E904" s="6" t="str">
        <f t="shared" si="44"/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45"/>
        <v>Involuntary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43"/>
        <v>26</v>
      </c>
      <c r="E905" s="6" t="str">
        <f t="shared" si="44"/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45"/>
        <v>Involuntary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43"/>
        <v>5</v>
      </c>
      <c r="E906" s="6" t="str">
        <f t="shared" si="44"/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45"/>
        <v>Involuntary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43"/>
        <v>8</v>
      </c>
      <c r="E907" s="6" t="b">
        <f t="shared" si="44"/>
        <v>0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45"/>
        <v>Involuntary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43"/>
        <v>30</v>
      </c>
      <c r="E908" s="6" t="str">
        <f t="shared" si="44"/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45"/>
        <v>Involuntary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43"/>
        <v>23</v>
      </c>
      <c r="E909" s="6" t="str">
        <f t="shared" si="44"/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45"/>
        <v>Involuntary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43"/>
        <v>20</v>
      </c>
      <c r="E910" s="6" t="str">
        <f t="shared" si="44"/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45"/>
        <v>Involuntary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43"/>
        <v>20</v>
      </c>
      <c r="E911" s="6" t="str">
        <f t="shared" si="44"/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45"/>
        <v>Involuntary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43"/>
        <v>20</v>
      </c>
      <c r="E912" s="6" t="str">
        <f t="shared" si="44"/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45"/>
        <v>Involuntary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43"/>
        <v>10</v>
      </c>
      <c r="E913" s="6" t="b">
        <f t="shared" si="44"/>
        <v>0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45"/>
        <v>Involuntary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43"/>
        <v>15</v>
      </c>
      <c r="E914" s="6" t="str">
        <f t="shared" si="44"/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45"/>
        <v>Involuntary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43"/>
        <v>18</v>
      </c>
      <c r="E915" s="6" t="str">
        <f t="shared" si="44"/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45"/>
        <v>Involuntary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43"/>
        <v>26</v>
      </c>
      <c r="E916" s="6" t="str">
        <f t="shared" si="44"/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45"/>
        <v>Involuntary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43"/>
        <v>28</v>
      </c>
      <c r="E917" s="6" t="str">
        <f t="shared" si="44"/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45"/>
        <v>Involuntary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43"/>
        <v>18</v>
      </c>
      <c r="E918" s="6" t="str">
        <f t="shared" si="44"/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45"/>
        <v>Involuntary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43"/>
        <v>20</v>
      </c>
      <c r="E919" s="6" t="str">
        <f t="shared" si="44"/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45"/>
        <v>Involuntary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43"/>
        <v>15</v>
      </c>
      <c r="E920" s="6" t="str">
        <f t="shared" si="44"/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45"/>
        <v>Involuntary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43"/>
        <v>20</v>
      </c>
      <c r="E921" s="6" t="str">
        <f t="shared" si="44"/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45"/>
        <v>Involuntary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43"/>
        <v>19</v>
      </c>
      <c r="E922" s="6" t="str">
        <f t="shared" si="44"/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45"/>
        <v>Involuntary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43"/>
        <v>15</v>
      </c>
      <c r="E923" s="6" t="str">
        <f t="shared" si="44"/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45"/>
        <v>Involuntary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43"/>
        <v>12</v>
      </c>
      <c r="E924" s="6" t="str">
        <f t="shared" si="44"/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45"/>
        <v>Involuntary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43"/>
        <v>10</v>
      </c>
      <c r="E925" s="6" t="b">
        <f t="shared" si="44"/>
        <v>0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45"/>
        <v>Involuntary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43"/>
        <v>9</v>
      </c>
      <c r="E926" s="6" t="b">
        <f t="shared" si="44"/>
        <v>0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45"/>
        <v>Involuntary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43"/>
        <v>15</v>
      </c>
      <c r="E927" s="6" t="str">
        <f t="shared" si="44"/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45"/>
        <v>Involuntary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43"/>
        <v>11</v>
      </c>
      <c r="E928" s="6" t="str">
        <f t="shared" si="44"/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45"/>
        <v>Involuntary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43"/>
        <v>27</v>
      </c>
      <c r="E929" s="6" t="str">
        <f t="shared" si="44"/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45"/>
        <v>Involuntary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43"/>
        <v>30</v>
      </c>
      <c r="E930" s="6" t="str">
        <f t="shared" si="44"/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45"/>
        <v>Involuntary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43"/>
        <v>9</v>
      </c>
      <c r="E931" s="6" t="b">
        <f t="shared" si="44"/>
        <v>0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45"/>
        <v>Involuntary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43"/>
        <v>18</v>
      </c>
      <c r="E932" s="6" t="str">
        <f t="shared" si="44"/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45"/>
        <v>Involuntary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43"/>
        <v>22</v>
      </c>
      <c r="E933" s="6" t="str">
        <f t="shared" si="44"/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45"/>
        <v>Involuntary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43"/>
        <v>26</v>
      </c>
      <c r="E934" s="6" t="str">
        <f t="shared" si="44"/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45"/>
        <v>Involuntary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43"/>
        <v>26</v>
      </c>
      <c r="E935" s="6" t="str">
        <f t="shared" si="44"/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45"/>
        <v>Involuntary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43"/>
        <v>25</v>
      </c>
      <c r="E936" s="6" t="str">
        <f t="shared" si="44"/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45"/>
        <v>Involuntary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43"/>
        <v>7</v>
      </c>
      <c r="E937" s="6" t="b">
        <f t="shared" si="44"/>
        <v>0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45"/>
        <v>Involuntary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43"/>
        <v>16</v>
      </c>
      <c r="E938" s="6" t="str">
        <f t="shared" si="44"/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45"/>
        <v>Involuntary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43"/>
        <v>24</v>
      </c>
      <c r="E939" s="6" t="str">
        <f t="shared" si="44"/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45"/>
        <v>Involuntary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43"/>
        <v>17</v>
      </c>
      <c r="E940" s="6" t="str">
        <f t="shared" si="44"/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45"/>
        <v>Involuntary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43"/>
        <v>8</v>
      </c>
      <c r="E941" s="6" t="b">
        <f t="shared" si="44"/>
        <v>0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45"/>
        <v>Involuntary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43"/>
        <v>6</v>
      </c>
      <c r="E942" s="6" t="b">
        <f t="shared" si="44"/>
        <v>0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45"/>
        <v>Voluntary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43"/>
        <v>8</v>
      </c>
      <c r="E943" s="6" t="b">
        <f t="shared" si="44"/>
        <v>0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45"/>
        <v>Involuntary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43"/>
        <v>28</v>
      </c>
      <c r="E944" s="6" t="str">
        <f t="shared" si="44"/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45"/>
        <v>Involuntary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43"/>
        <v>8</v>
      </c>
      <c r="E945" s="6" t="b">
        <f t="shared" si="44"/>
        <v>0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45"/>
        <v>Involuntary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43"/>
        <v>18</v>
      </c>
      <c r="E946" s="6" t="str">
        <f t="shared" si="44"/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45"/>
        <v>Involuntary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43"/>
        <v>24</v>
      </c>
      <c r="E947" s="6" t="str">
        <f t="shared" si="44"/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45"/>
        <v>Involuntary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43"/>
        <v>7</v>
      </c>
      <c r="E948" s="6" t="b">
        <f t="shared" si="44"/>
        <v>0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45"/>
        <v>Involuntary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43"/>
        <v>26</v>
      </c>
      <c r="E949" s="6" t="str">
        <f t="shared" si="44"/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45"/>
        <v>Voluntary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43"/>
        <v>13</v>
      </c>
      <c r="E950" s="6" t="str">
        <f t="shared" si="44"/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45"/>
        <v>Involuntary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43"/>
        <v>11</v>
      </c>
      <c r="E951" s="6" t="str">
        <f t="shared" si="44"/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45"/>
        <v>Involuntary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43"/>
        <v>22</v>
      </c>
      <c r="E952" s="6" t="str">
        <f t="shared" si="44"/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45"/>
        <v>Involuntary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43"/>
        <v>15</v>
      </c>
      <c r="E953" s="6" t="str">
        <f t="shared" si="44"/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45"/>
        <v>Involuntary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43"/>
        <v>29</v>
      </c>
      <c r="E954" s="6" t="str">
        <f t="shared" si="44"/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45"/>
        <v>Involuntary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43"/>
        <v>23</v>
      </c>
      <c r="E955" s="6" t="str">
        <f t="shared" si="44"/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45"/>
        <v>Involuntary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43"/>
        <v>20</v>
      </c>
      <c r="E956" s="6" t="str">
        <f t="shared" si="44"/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45"/>
        <v>Involuntary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43"/>
        <v>15</v>
      </c>
      <c r="E957" s="6" t="str">
        <f t="shared" si="44"/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45"/>
        <v>Involuntary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43"/>
        <v>8</v>
      </c>
      <c r="E958" s="6" t="b">
        <f t="shared" si="44"/>
        <v>0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45"/>
        <v>Voluntary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43"/>
        <v>8</v>
      </c>
      <c r="E959" s="6" t="b">
        <f t="shared" si="44"/>
        <v>0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45"/>
        <v>Involuntary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43"/>
        <v>16</v>
      </c>
      <c r="E960" s="6" t="str">
        <f t="shared" si="44"/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45"/>
        <v>Voluntary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43"/>
        <v>23</v>
      </c>
      <c r="E961" s="6" t="str">
        <f t="shared" si="44"/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45"/>
        <v>Involuntary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43"/>
        <v>19</v>
      </c>
      <c r="E962" s="6" t="str">
        <f t="shared" si="44"/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45"/>
        <v>Involuntary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46">YEAR(C963)-YEAR(B963)</f>
        <v>13</v>
      </c>
      <c r="E963" s="6" t="str">
        <f t="shared" ref="E963:E1026" si="47">IF(D963&lt;=5,"NEWCOMER",IF(D963&gt;10,"EXPERT"))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si="45"/>
        <v>Involuntary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46"/>
        <v>8</v>
      </c>
      <c r="E964" s="6" t="b">
        <f t="shared" si="47"/>
        <v>0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ref="M964:M1027" si="48">IF(OR(L964="Resignation", L964="Retirement"), "Voluntary", IF(L964="Layoff", "Involuntary", "Other"))</f>
        <v>Involuntary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46"/>
        <v>11</v>
      </c>
      <c r="E965" s="6" t="str">
        <f t="shared" si="47"/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48"/>
        <v>Involuntary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46"/>
        <v>17</v>
      </c>
      <c r="E966" s="6" t="str">
        <f t="shared" si="47"/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48"/>
        <v>Involuntary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46"/>
        <v>8</v>
      </c>
      <c r="E967" s="6" t="b">
        <f t="shared" si="47"/>
        <v>0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si="48"/>
        <v>Involuntary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46"/>
        <v>16</v>
      </c>
      <c r="E968" s="6" t="str">
        <f t="shared" si="47"/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48"/>
        <v>Involuntary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46"/>
        <v>23</v>
      </c>
      <c r="E969" s="6" t="str">
        <f t="shared" si="47"/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48"/>
        <v>Involuntary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46"/>
        <v>20</v>
      </c>
      <c r="E970" s="6" t="str">
        <f t="shared" si="47"/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48"/>
        <v>Involuntary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46"/>
        <v>16</v>
      </c>
      <c r="E971" s="6" t="str">
        <f t="shared" si="47"/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48"/>
        <v>Involuntary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46"/>
        <v>5</v>
      </c>
      <c r="E972" s="6" t="str">
        <f t="shared" si="47"/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48"/>
        <v>Involuntary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46"/>
        <v>5</v>
      </c>
      <c r="E973" s="6" t="str">
        <f t="shared" si="47"/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48"/>
        <v>Involuntary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46"/>
        <v>9</v>
      </c>
      <c r="E974" s="6" t="b">
        <f t="shared" si="47"/>
        <v>0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48"/>
        <v>Voluntary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46"/>
        <v>12</v>
      </c>
      <c r="E975" s="6" t="str">
        <f t="shared" si="47"/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48"/>
        <v>Involuntary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46"/>
        <v>26</v>
      </c>
      <c r="E976" s="6" t="str">
        <f t="shared" si="47"/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48"/>
        <v>Involuntary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46"/>
        <v>20</v>
      </c>
      <c r="E977" s="6" t="str">
        <f t="shared" si="47"/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48"/>
        <v>Involuntary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46"/>
        <v>26</v>
      </c>
      <c r="E978" s="6" t="str">
        <f t="shared" si="47"/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48"/>
        <v>Involuntary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46"/>
        <v>13</v>
      </c>
      <c r="E979" s="6" t="str">
        <f t="shared" si="47"/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48"/>
        <v>Involuntary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46"/>
        <v>9</v>
      </c>
      <c r="E980" s="6" t="b">
        <f t="shared" si="47"/>
        <v>0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48"/>
        <v>Involuntary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46"/>
        <v>10</v>
      </c>
      <c r="E981" s="6" t="b">
        <f t="shared" si="47"/>
        <v>0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48"/>
        <v>Involuntary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46"/>
        <v>14</v>
      </c>
      <c r="E982" s="6" t="str">
        <f t="shared" si="47"/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48"/>
        <v>Involuntary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46"/>
        <v>13</v>
      </c>
      <c r="E983" s="6" t="str">
        <f t="shared" si="47"/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48"/>
        <v>Involuntary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46"/>
        <v>25</v>
      </c>
      <c r="E984" s="6" t="str">
        <f t="shared" si="47"/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48"/>
        <v>Involuntary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46"/>
        <v>21</v>
      </c>
      <c r="E985" s="6" t="str">
        <f t="shared" si="47"/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48"/>
        <v>Involuntary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46"/>
        <v>21</v>
      </c>
      <c r="E986" s="6" t="str">
        <f t="shared" si="47"/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48"/>
        <v>Involuntary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46"/>
        <v>11</v>
      </c>
      <c r="E987" s="6" t="str">
        <f t="shared" si="47"/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48"/>
        <v>Involuntary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46"/>
        <v>15</v>
      </c>
      <c r="E988" s="6" t="str">
        <f t="shared" si="47"/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48"/>
        <v>Involuntary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46"/>
        <v>10</v>
      </c>
      <c r="E989" s="6" t="b">
        <f t="shared" si="47"/>
        <v>0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48"/>
        <v>Involuntary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46"/>
        <v>29</v>
      </c>
      <c r="E990" s="6" t="str">
        <f t="shared" si="47"/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48"/>
        <v>Involuntary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46"/>
        <v>29</v>
      </c>
      <c r="E991" s="6" t="str">
        <f t="shared" si="47"/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48"/>
        <v>Involuntary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46"/>
        <v>7</v>
      </c>
      <c r="E992" s="6" t="b">
        <f t="shared" si="47"/>
        <v>0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48"/>
        <v>Involuntary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46"/>
        <v>12</v>
      </c>
      <c r="E993" s="6" t="str">
        <f t="shared" si="47"/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48"/>
        <v>Involuntary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46"/>
        <v>27</v>
      </c>
      <c r="E994" s="6" t="str">
        <f t="shared" si="47"/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48"/>
        <v>Involuntary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46"/>
        <v>16</v>
      </c>
      <c r="E995" s="6" t="str">
        <f t="shared" si="47"/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48"/>
        <v>Involuntary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46"/>
        <v>25</v>
      </c>
      <c r="E996" s="6" t="str">
        <f t="shared" si="47"/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48"/>
        <v>Involuntary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46"/>
        <v>23</v>
      </c>
      <c r="E997" s="6" t="str">
        <f t="shared" si="47"/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48"/>
        <v>Involuntary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46"/>
        <v>14</v>
      </c>
      <c r="E998" s="6" t="str">
        <f t="shared" si="47"/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48"/>
        <v>Involuntary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46"/>
        <v>10</v>
      </c>
      <c r="E999" s="6" t="b">
        <f t="shared" si="47"/>
        <v>0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48"/>
        <v>Involuntary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46"/>
        <v>28</v>
      </c>
      <c r="E1000" s="6" t="str">
        <f t="shared" si="47"/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48"/>
        <v>Involuntary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46"/>
        <v>18</v>
      </c>
      <c r="E1001" s="6" t="str">
        <f t="shared" si="47"/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48"/>
        <v>Involuntary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46"/>
        <v>30</v>
      </c>
      <c r="E1002" s="6" t="str">
        <f t="shared" si="47"/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48"/>
        <v>Involuntary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46"/>
        <v>17</v>
      </c>
      <c r="E1003" s="6" t="str">
        <f t="shared" si="47"/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48"/>
        <v>Involuntary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46"/>
        <v>16</v>
      </c>
      <c r="E1004" s="6" t="str">
        <f t="shared" si="47"/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48"/>
        <v>Involuntary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46"/>
        <v>20</v>
      </c>
      <c r="E1005" s="6" t="str">
        <f t="shared" si="47"/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48"/>
        <v>Involuntary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46"/>
        <v>22</v>
      </c>
      <c r="E1006" s="6" t="str">
        <f t="shared" si="47"/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48"/>
        <v>Involuntary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46"/>
        <v>14</v>
      </c>
      <c r="E1007" s="6" t="str">
        <f t="shared" si="47"/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48"/>
        <v>Involuntary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46"/>
        <v>24</v>
      </c>
      <c r="E1008" s="6" t="str">
        <f t="shared" si="47"/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48"/>
        <v>Involuntary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46"/>
        <v>23</v>
      </c>
      <c r="E1009" s="6" t="str">
        <f t="shared" si="47"/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48"/>
        <v>Involuntary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46"/>
        <v>26</v>
      </c>
      <c r="E1010" s="6" t="str">
        <f t="shared" si="47"/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48"/>
        <v>Involuntary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46"/>
        <v>25</v>
      </c>
      <c r="E1011" s="6" t="str">
        <f t="shared" si="47"/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48"/>
        <v>Involuntary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46"/>
        <v>27</v>
      </c>
      <c r="E1012" s="6" t="str">
        <f t="shared" si="47"/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48"/>
        <v>Involuntary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46"/>
        <v>25</v>
      </c>
      <c r="E1013" s="6" t="str">
        <f t="shared" si="47"/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48"/>
        <v>Involuntary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46"/>
        <v>25</v>
      </c>
      <c r="E1014" s="6" t="str">
        <f t="shared" si="47"/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48"/>
        <v>Involuntary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46"/>
        <v>16</v>
      </c>
      <c r="E1015" s="6" t="str">
        <f t="shared" si="47"/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48"/>
        <v>Involuntary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46"/>
        <v>19</v>
      </c>
      <c r="E1016" s="6" t="str">
        <f t="shared" si="47"/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48"/>
        <v>Involuntary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46"/>
        <v>28</v>
      </c>
      <c r="E1017" s="6" t="str">
        <f t="shared" si="47"/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48"/>
        <v>Involuntary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46"/>
        <v>13</v>
      </c>
      <c r="E1018" s="6" t="str">
        <f t="shared" si="47"/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48"/>
        <v>Involuntary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46"/>
        <v>25</v>
      </c>
      <c r="E1019" s="6" t="str">
        <f t="shared" si="47"/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48"/>
        <v>Involuntary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46"/>
        <v>25</v>
      </c>
      <c r="E1020" s="6" t="str">
        <f t="shared" si="47"/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48"/>
        <v>Involuntary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46"/>
        <v>28</v>
      </c>
      <c r="E1021" s="6" t="str">
        <f t="shared" si="47"/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48"/>
        <v>Involuntary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46"/>
        <v>11</v>
      </c>
      <c r="E1022" s="6" t="str">
        <f t="shared" si="47"/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48"/>
        <v>Involuntary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46"/>
        <v>14</v>
      </c>
      <c r="E1023" s="6" t="str">
        <f t="shared" si="47"/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48"/>
        <v>Involuntary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46"/>
        <v>19</v>
      </c>
      <c r="E1024" s="6" t="str">
        <f t="shared" si="47"/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48"/>
        <v>Involuntary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46"/>
        <v>26</v>
      </c>
      <c r="E1025" s="6" t="str">
        <f t="shared" si="47"/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48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46"/>
        <v>20</v>
      </c>
      <c r="E1026" s="6" t="str">
        <f t="shared" si="47"/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48"/>
        <v>Voluntary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49">YEAR(C1027)-YEAR(B1027)</f>
        <v>17</v>
      </c>
      <c r="E1027" s="6" t="str">
        <f t="shared" ref="E1027:E1090" si="50">IF(D1027&lt;=5,"NEWCOMER",IF(D1027&gt;10,"EXPERT"))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si="48"/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49"/>
        <v>11</v>
      </c>
      <c r="E1028" s="6" t="str">
        <f t="shared" si="50"/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ref="M1028:M1091" si="51">IF(OR(L1028="Resignation", L1028="Retirement"), "Voluntary", IF(L1028="Layoff", "Involuntary", "Other"))</f>
        <v>Involuntary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49"/>
        <v>20</v>
      </c>
      <c r="E1029" s="6" t="str">
        <f t="shared" si="50"/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51"/>
        <v>Involuntary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49"/>
        <v>16</v>
      </c>
      <c r="E1030" s="6" t="str">
        <f t="shared" si="50"/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51"/>
        <v>Voluntary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49"/>
        <v>14</v>
      </c>
      <c r="E1031" s="6" t="str">
        <f t="shared" si="50"/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si="51"/>
        <v>Involuntary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49"/>
        <v>12</v>
      </c>
      <c r="E1032" s="6" t="str">
        <f t="shared" si="50"/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51"/>
        <v>Involuntary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49"/>
        <v>9</v>
      </c>
      <c r="E1033" s="6" t="b">
        <f t="shared" si="50"/>
        <v>0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51"/>
        <v>Involuntary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49"/>
        <v>23</v>
      </c>
      <c r="E1034" s="6" t="str">
        <f t="shared" si="50"/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51"/>
        <v>Involuntary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49"/>
        <v>26</v>
      </c>
      <c r="E1035" s="6" t="str">
        <f t="shared" si="50"/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51"/>
        <v>Voluntary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49"/>
        <v>9</v>
      </c>
      <c r="E1036" s="6" t="b">
        <f t="shared" si="50"/>
        <v>0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51"/>
        <v>Involuntary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49"/>
        <v>29</v>
      </c>
      <c r="E1037" s="6" t="str">
        <f t="shared" si="50"/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51"/>
        <v>Voluntary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49"/>
        <v>15</v>
      </c>
      <c r="E1038" s="6" t="str">
        <f t="shared" si="50"/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51"/>
        <v>Voluntary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49"/>
        <v>8</v>
      </c>
      <c r="E1039" s="6" t="b">
        <f t="shared" si="50"/>
        <v>0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51"/>
        <v>Voluntary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49"/>
        <v>29</v>
      </c>
      <c r="E1040" s="6" t="str">
        <f t="shared" si="50"/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51"/>
        <v>Involuntary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49"/>
        <v>15</v>
      </c>
      <c r="E1041" s="6" t="str">
        <f t="shared" si="50"/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51"/>
        <v>Voluntary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49"/>
        <v>25</v>
      </c>
      <c r="E1042" s="6" t="str">
        <f t="shared" si="50"/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51"/>
        <v>Voluntary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49"/>
        <v>18</v>
      </c>
      <c r="E1043" s="6" t="str">
        <f t="shared" si="50"/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51"/>
        <v>Voluntary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49"/>
        <v>14</v>
      </c>
      <c r="E1044" s="6" t="str">
        <f t="shared" si="50"/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51"/>
        <v>Voluntary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49"/>
        <v>15</v>
      </c>
      <c r="E1045" s="6" t="str">
        <f t="shared" si="50"/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51"/>
        <v>Involuntary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49"/>
        <v>8</v>
      </c>
      <c r="E1046" s="6" t="b">
        <f t="shared" si="50"/>
        <v>0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51"/>
        <v>Voluntary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49"/>
        <v>20</v>
      </c>
      <c r="E1047" s="6" t="str">
        <f t="shared" si="50"/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51"/>
        <v>Involuntary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49"/>
        <v>12</v>
      </c>
      <c r="E1048" s="6" t="str">
        <f t="shared" si="50"/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51"/>
        <v>Voluntary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49"/>
        <v>23</v>
      </c>
      <c r="E1049" s="6" t="str">
        <f t="shared" si="50"/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51"/>
        <v>Voluntary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49"/>
        <v>20</v>
      </c>
      <c r="E1050" s="6" t="str">
        <f t="shared" si="50"/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51"/>
        <v>Voluntary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49"/>
        <v>22</v>
      </c>
      <c r="E1051" s="6" t="str">
        <f t="shared" si="50"/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51"/>
        <v>Voluntary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49"/>
        <v>21</v>
      </c>
      <c r="E1052" s="6" t="str">
        <f t="shared" si="50"/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51"/>
        <v>Involuntary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49"/>
        <v>6</v>
      </c>
      <c r="E1053" s="6" t="b">
        <f t="shared" si="50"/>
        <v>0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51"/>
        <v>Involuntary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49"/>
        <v>23</v>
      </c>
      <c r="E1054" s="6" t="str">
        <f t="shared" si="50"/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51"/>
        <v>Voluntary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49"/>
        <v>8</v>
      </c>
      <c r="E1055" s="6" t="b">
        <f t="shared" si="50"/>
        <v>0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51"/>
        <v>Voluntary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49"/>
        <v>28</v>
      </c>
      <c r="E1056" s="6" t="str">
        <f t="shared" si="50"/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51"/>
        <v>Involuntary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49"/>
        <v>18</v>
      </c>
      <c r="E1057" s="6" t="str">
        <f t="shared" si="50"/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51"/>
        <v>Voluntary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49"/>
        <v>10</v>
      </c>
      <c r="E1058" s="6" t="b">
        <f t="shared" si="50"/>
        <v>0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51"/>
        <v>Voluntary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49"/>
        <v>21</v>
      </c>
      <c r="E1059" s="6" t="str">
        <f t="shared" si="50"/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51"/>
        <v>Involuntary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49"/>
        <v>17</v>
      </c>
      <c r="E1060" s="6" t="str">
        <f t="shared" si="50"/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51"/>
        <v>Involuntary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49"/>
        <v>18</v>
      </c>
      <c r="E1061" s="6" t="str">
        <f t="shared" si="50"/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51"/>
        <v>Voluntary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49"/>
        <v>9</v>
      </c>
      <c r="E1062" s="6" t="b">
        <f t="shared" si="50"/>
        <v>0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51"/>
        <v>Voluntary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49"/>
        <v>13</v>
      </c>
      <c r="E1063" s="6" t="str">
        <f t="shared" si="50"/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51"/>
        <v>Voluntary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49"/>
        <v>9</v>
      </c>
      <c r="E1064" s="6" t="b">
        <f t="shared" si="50"/>
        <v>0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51"/>
        <v>Voluntary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49"/>
        <v>18</v>
      </c>
      <c r="E1065" s="6" t="str">
        <f t="shared" si="50"/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51"/>
        <v>Involuntary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49"/>
        <v>21</v>
      </c>
      <c r="E1066" s="6" t="str">
        <f t="shared" si="50"/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51"/>
        <v>Voluntary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49"/>
        <v>6</v>
      </c>
      <c r="E1067" s="6" t="b">
        <f t="shared" si="50"/>
        <v>0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51"/>
        <v>Involuntary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49"/>
        <v>15</v>
      </c>
      <c r="E1068" s="6" t="str">
        <f t="shared" si="50"/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51"/>
        <v>Voluntary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49"/>
        <v>27</v>
      </c>
      <c r="E1069" s="6" t="str">
        <f t="shared" si="50"/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51"/>
        <v>Voluntary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49"/>
        <v>18</v>
      </c>
      <c r="E1070" s="6" t="str">
        <f t="shared" si="50"/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51"/>
        <v>Involuntary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49"/>
        <v>16</v>
      </c>
      <c r="E1071" s="6" t="str">
        <f t="shared" si="50"/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51"/>
        <v>Involuntary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49"/>
        <v>22</v>
      </c>
      <c r="E1072" s="6" t="str">
        <f t="shared" si="50"/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51"/>
        <v>Voluntary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49"/>
        <v>6</v>
      </c>
      <c r="E1073" s="6" t="b">
        <f t="shared" si="50"/>
        <v>0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51"/>
        <v>Voluntary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49"/>
        <v>30</v>
      </c>
      <c r="E1074" s="6" t="str">
        <f t="shared" si="50"/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51"/>
        <v>Voluntary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49"/>
        <v>13</v>
      </c>
      <c r="E1075" s="6" t="str">
        <f t="shared" si="50"/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51"/>
        <v>Voluntary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49"/>
        <v>21</v>
      </c>
      <c r="E1076" s="6" t="str">
        <f t="shared" si="50"/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51"/>
        <v>Involuntary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49"/>
        <v>16</v>
      </c>
      <c r="E1077" s="6" t="str">
        <f t="shared" si="50"/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51"/>
        <v>Involuntary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49"/>
        <v>9</v>
      </c>
      <c r="E1078" s="6" t="b">
        <f t="shared" si="50"/>
        <v>0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51"/>
        <v>Voluntary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49"/>
        <v>5</v>
      </c>
      <c r="E1079" s="6" t="str">
        <f t="shared" si="50"/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51"/>
        <v>Involuntary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49"/>
        <v>12</v>
      </c>
      <c r="E1080" s="6" t="str">
        <f t="shared" si="50"/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51"/>
        <v>Voluntary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49"/>
        <v>14</v>
      </c>
      <c r="E1081" s="6" t="str">
        <f t="shared" si="50"/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51"/>
        <v>Voluntary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49"/>
        <v>28</v>
      </c>
      <c r="E1082" s="6" t="str">
        <f t="shared" si="50"/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51"/>
        <v>Involuntary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49"/>
        <v>27</v>
      </c>
      <c r="E1083" s="6" t="str">
        <f t="shared" si="50"/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51"/>
        <v>Involuntary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49"/>
        <v>22</v>
      </c>
      <c r="E1084" s="6" t="str">
        <f t="shared" si="50"/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51"/>
        <v>Voluntary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49"/>
        <v>13</v>
      </c>
      <c r="E1085" s="6" t="str">
        <f t="shared" si="50"/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51"/>
        <v>Voluntary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49"/>
        <v>27</v>
      </c>
      <c r="E1086" s="6" t="str">
        <f t="shared" si="50"/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51"/>
        <v>Voluntary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49"/>
        <v>8</v>
      </c>
      <c r="E1087" s="6" t="b">
        <f t="shared" si="50"/>
        <v>0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51"/>
        <v>Involuntary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49"/>
        <v>7</v>
      </c>
      <c r="E1088" s="6" t="b">
        <f t="shared" si="50"/>
        <v>0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51"/>
        <v>Involuntary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49"/>
        <v>11</v>
      </c>
      <c r="E1089" s="6" t="str">
        <f t="shared" si="50"/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51"/>
        <v>Voluntary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49"/>
        <v>20</v>
      </c>
      <c r="E1090" s="6" t="str">
        <f t="shared" si="50"/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51"/>
        <v>Involuntary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52">YEAR(C1091)-YEAR(B1091)</f>
        <v>5</v>
      </c>
      <c r="E1091" s="6" t="str">
        <f t="shared" ref="E1091:E1154" si="53">IF(D1091&lt;=5,"NEWCOMER",IF(D1091&gt;10,"EXPERT"))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si="51"/>
        <v>Involuntary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52"/>
        <v>21</v>
      </c>
      <c r="E1092" s="6" t="str">
        <f t="shared" si="53"/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ref="M1092:M1155" si="54">IF(OR(L1092="Resignation", L1092="Retirement"), "Voluntary", IF(L1092="Layoff", "Involuntary", "Other"))</f>
        <v>Involuntary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52"/>
        <v>9</v>
      </c>
      <c r="E1093" s="6" t="b">
        <f t="shared" si="53"/>
        <v>0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54"/>
        <v>Involuntary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52"/>
        <v>27</v>
      </c>
      <c r="E1094" s="6" t="str">
        <f t="shared" si="53"/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54"/>
        <v>Involuntary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52"/>
        <v>25</v>
      </c>
      <c r="E1095" s="6" t="str">
        <f t="shared" si="53"/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si="54"/>
        <v>Voluntary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52"/>
        <v>28</v>
      </c>
      <c r="E1096" s="6" t="str">
        <f t="shared" si="53"/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54"/>
        <v>Voluntary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52"/>
        <v>19</v>
      </c>
      <c r="E1097" s="6" t="str">
        <f t="shared" si="53"/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54"/>
        <v>Involuntary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52"/>
        <v>29</v>
      </c>
      <c r="E1098" s="6" t="str">
        <f t="shared" si="53"/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54"/>
        <v>Voluntary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52"/>
        <v>28</v>
      </c>
      <c r="E1099" s="6" t="str">
        <f t="shared" si="53"/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54"/>
        <v>Voluntary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52"/>
        <v>29</v>
      </c>
      <c r="E1100" s="6" t="str">
        <f t="shared" si="53"/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54"/>
        <v>Voluntary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52"/>
        <v>24</v>
      </c>
      <c r="E1101" s="6" t="str">
        <f t="shared" si="53"/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54"/>
        <v>Involuntary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52"/>
        <v>10</v>
      </c>
      <c r="E1102" s="6" t="b">
        <f t="shared" si="53"/>
        <v>0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54"/>
        <v>Voluntary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52"/>
        <v>20</v>
      </c>
      <c r="E1103" s="6" t="str">
        <f t="shared" si="53"/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54"/>
        <v>Voluntary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52"/>
        <v>15</v>
      </c>
      <c r="E1104" s="6" t="str">
        <f t="shared" si="53"/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54"/>
        <v>Involuntary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52"/>
        <v>15</v>
      </c>
      <c r="E1105" s="6" t="str">
        <f t="shared" si="53"/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54"/>
        <v>Voluntary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52"/>
        <v>24</v>
      </c>
      <c r="E1106" s="6" t="str">
        <f t="shared" si="53"/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54"/>
        <v>Voluntary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52"/>
        <v>6</v>
      </c>
      <c r="E1107" s="6" t="b">
        <f t="shared" si="53"/>
        <v>0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54"/>
        <v>Involuntary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52"/>
        <v>14</v>
      </c>
      <c r="E1108" s="6" t="str">
        <f t="shared" si="53"/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54"/>
        <v>Voluntary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52"/>
        <v>5</v>
      </c>
      <c r="E1109" s="6" t="str">
        <f t="shared" si="53"/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54"/>
        <v>Voluntary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52"/>
        <v>17</v>
      </c>
      <c r="E1110" s="6" t="str">
        <f t="shared" si="53"/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54"/>
        <v>Voluntary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52"/>
        <v>30</v>
      </c>
      <c r="E1111" s="6" t="str">
        <f t="shared" si="53"/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54"/>
        <v>Involuntary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52"/>
        <v>8</v>
      </c>
      <c r="E1112" s="6" t="b">
        <f t="shared" si="53"/>
        <v>0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54"/>
        <v>Involuntary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52"/>
        <v>8</v>
      </c>
      <c r="E1113" s="6" t="b">
        <f t="shared" si="53"/>
        <v>0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54"/>
        <v>Involuntary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52"/>
        <v>19</v>
      </c>
      <c r="E1114" s="6" t="str">
        <f t="shared" si="53"/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54"/>
        <v>Voluntary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52"/>
        <v>15</v>
      </c>
      <c r="E1115" s="6" t="str">
        <f t="shared" si="53"/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54"/>
        <v>Involuntary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52"/>
        <v>8</v>
      </c>
      <c r="E1116" s="6" t="b">
        <f t="shared" si="53"/>
        <v>0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54"/>
        <v>Voluntary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52"/>
        <v>21</v>
      </c>
      <c r="E1117" s="6" t="str">
        <f t="shared" si="53"/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54"/>
        <v>Involuntary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52"/>
        <v>15</v>
      </c>
      <c r="E1118" s="6" t="str">
        <f t="shared" si="53"/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54"/>
        <v>Involuntary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52"/>
        <v>24</v>
      </c>
      <c r="E1119" s="6" t="str">
        <f t="shared" si="53"/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54"/>
        <v>Involuntary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52"/>
        <v>21</v>
      </c>
      <c r="E1120" s="6" t="str">
        <f t="shared" si="53"/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54"/>
        <v>Voluntary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52"/>
        <v>21</v>
      </c>
      <c r="E1121" s="6" t="str">
        <f t="shared" si="53"/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54"/>
        <v>Involuntary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52"/>
        <v>30</v>
      </c>
      <c r="E1122" s="6" t="str">
        <f t="shared" si="53"/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54"/>
        <v>Voluntary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52"/>
        <v>26</v>
      </c>
      <c r="E1123" s="6" t="str">
        <f t="shared" si="53"/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54"/>
        <v>Involuntary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52"/>
        <v>17</v>
      </c>
      <c r="E1124" s="6" t="str">
        <f t="shared" si="53"/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54"/>
        <v>Involuntary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52"/>
        <v>10</v>
      </c>
      <c r="E1125" s="6" t="b">
        <f t="shared" si="53"/>
        <v>0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54"/>
        <v>Voluntary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52"/>
        <v>16</v>
      </c>
      <c r="E1126" s="6" t="str">
        <f t="shared" si="53"/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54"/>
        <v>Voluntary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52"/>
        <v>11</v>
      </c>
      <c r="E1127" s="6" t="str">
        <f t="shared" si="53"/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54"/>
        <v>Voluntary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52"/>
        <v>11</v>
      </c>
      <c r="E1128" s="6" t="str">
        <f t="shared" si="53"/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54"/>
        <v>Voluntary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52"/>
        <v>25</v>
      </c>
      <c r="E1129" s="6" t="str">
        <f t="shared" si="53"/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54"/>
        <v>Voluntary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52"/>
        <v>7</v>
      </c>
      <c r="E1130" s="6" t="b">
        <f t="shared" si="53"/>
        <v>0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54"/>
        <v>Voluntary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52"/>
        <v>15</v>
      </c>
      <c r="E1131" s="6" t="str">
        <f t="shared" si="53"/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54"/>
        <v>Involuntary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52"/>
        <v>7</v>
      </c>
      <c r="E1132" s="6" t="b">
        <f t="shared" si="53"/>
        <v>0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54"/>
        <v>Involuntary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52"/>
        <v>25</v>
      </c>
      <c r="E1133" s="6" t="str">
        <f t="shared" si="53"/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54"/>
        <v>Involuntary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52"/>
        <v>21</v>
      </c>
      <c r="E1134" s="6" t="str">
        <f t="shared" si="53"/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54"/>
        <v>Voluntary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52"/>
        <v>6</v>
      </c>
      <c r="E1135" s="6" t="b">
        <f t="shared" si="53"/>
        <v>0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54"/>
        <v>Involuntary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52"/>
        <v>14</v>
      </c>
      <c r="E1136" s="6" t="str">
        <f t="shared" si="53"/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54"/>
        <v>Voluntary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52"/>
        <v>20</v>
      </c>
      <c r="E1137" s="6" t="str">
        <f t="shared" si="53"/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54"/>
        <v>Involuntary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52"/>
        <v>11</v>
      </c>
      <c r="E1138" s="6" t="str">
        <f t="shared" si="53"/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54"/>
        <v>Involuntary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52"/>
        <v>13</v>
      </c>
      <c r="E1139" s="6" t="str">
        <f t="shared" si="53"/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54"/>
        <v>Voluntary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52"/>
        <v>17</v>
      </c>
      <c r="E1140" s="6" t="str">
        <f t="shared" si="53"/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54"/>
        <v>Involuntary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52"/>
        <v>26</v>
      </c>
      <c r="E1141" s="6" t="str">
        <f t="shared" si="53"/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54"/>
        <v>Voluntary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52"/>
        <v>10</v>
      </c>
      <c r="E1142" s="6" t="b">
        <f t="shared" si="53"/>
        <v>0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54"/>
        <v>Voluntary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52"/>
        <v>19</v>
      </c>
      <c r="E1143" s="6" t="str">
        <f t="shared" si="53"/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54"/>
        <v>Involuntary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52"/>
        <v>29</v>
      </c>
      <c r="E1144" s="6" t="str">
        <f t="shared" si="53"/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54"/>
        <v>Voluntary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52"/>
        <v>16</v>
      </c>
      <c r="E1145" s="6" t="str">
        <f t="shared" si="53"/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54"/>
        <v>Voluntary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52"/>
        <v>19</v>
      </c>
      <c r="E1146" s="6" t="str">
        <f t="shared" si="53"/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54"/>
        <v>Voluntary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52"/>
        <v>29</v>
      </c>
      <c r="E1147" s="6" t="str">
        <f t="shared" si="53"/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54"/>
        <v>Voluntary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52"/>
        <v>22</v>
      </c>
      <c r="E1148" s="6" t="str">
        <f t="shared" si="53"/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54"/>
        <v>Involuntary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52"/>
        <v>24</v>
      </c>
      <c r="E1149" s="6" t="str">
        <f t="shared" si="53"/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54"/>
        <v>Involuntary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52"/>
        <v>20</v>
      </c>
      <c r="E1150" s="6" t="str">
        <f t="shared" si="53"/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54"/>
        <v>Involuntary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52"/>
        <v>7</v>
      </c>
      <c r="E1151" s="6" t="b">
        <f t="shared" si="53"/>
        <v>0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54"/>
        <v>Voluntary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52"/>
        <v>9</v>
      </c>
      <c r="E1152" s="6" t="b">
        <f t="shared" si="53"/>
        <v>0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54"/>
        <v>Voluntary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52"/>
        <v>24</v>
      </c>
      <c r="E1153" s="6" t="str">
        <f t="shared" si="53"/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54"/>
        <v>Voluntary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52"/>
        <v>17</v>
      </c>
      <c r="E1154" s="6" t="str">
        <f t="shared" si="53"/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54"/>
        <v>Voluntary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55">YEAR(C1155)-YEAR(B1155)</f>
        <v>30</v>
      </c>
      <c r="E1155" s="6" t="str">
        <f t="shared" ref="E1155:E1218" si="56">IF(D1155&lt;=5,"NEWCOMER",IF(D1155&gt;10,"EXPERT"))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si="54"/>
        <v>Voluntary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55"/>
        <v>21</v>
      </c>
      <c r="E1156" s="6" t="str">
        <f t="shared" si="56"/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ref="M1156:M1219" si="57">IF(OR(L1156="Resignation", L1156="Retirement"), "Voluntary", IF(L1156="Layoff", "Involuntary", "Other"))</f>
        <v>Voluntary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55"/>
        <v>19</v>
      </c>
      <c r="E1157" s="6" t="str">
        <f t="shared" si="56"/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57"/>
        <v>Voluntary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55"/>
        <v>11</v>
      </c>
      <c r="E1158" s="6" t="str">
        <f t="shared" si="56"/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57"/>
        <v>Voluntary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55"/>
        <v>8</v>
      </c>
      <c r="E1159" s="6" t="b">
        <f t="shared" si="56"/>
        <v>0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si="57"/>
        <v>Voluntary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55"/>
        <v>13</v>
      </c>
      <c r="E1160" s="6" t="str">
        <f t="shared" si="56"/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57"/>
        <v>Voluntary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55"/>
        <v>24</v>
      </c>
      <c r="E1161" s="6" t="str">
        <f t="shared" si="56"/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57"/>
        <v>Voluntary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55"/>
        <v>29</v>
      </c>
      <c r="E1162" s="6" t="str">
        <f t="shared" si="56"/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57"/>
        <v>Involuntary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55"/>
        <v>14</v>
      </c>
      <c r="E1163" s="6" t="str">
        <f t="shared" si="56"/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57"/>
        <v>Voluntary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55"/>
        <v>27</v>
      </c>
      <c r="E1164" s="6" t="str">
        <f t="shared" si="56"/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57"/>
        <v>Voluntary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55"/>
        <v>8</v>
      </c>
      <c r="E1165" s="6" t="b">
        <f t="shared" si="56"/>
        <v>0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57"/>
        <v>Involuntary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55"/>
        <v>18</v>
      </c>
      <c r="E1166" s="6" t="str">
        <f t="shared" si="56"/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57"/>
        <v>Voluntary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55"/>
        <v>28</v>
      </c>
      <c r="E1167" s="6" t="str">
        <f t="shared" si="56"/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57"/>
        <v>Involuntary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55"/>
        <v>9</v>
      </c>
      <c r="E1168" s="6" t="b">
        <f t="shared" si="56"/>
        <v>0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57"/>
        <v>Voluntary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55"/>
        <v>26</v>
      </c>
      <c r="E1169" s="6" t="str">
        <f t="shared" si="56"/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57"/>
        <v>Voluntary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55"/>
        <v>23</v>
      </c>
      <c r="E1170" s="6" t="str">
        <f t="shared" si="56"/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57"/>
        <v>Voluntary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55"/>
        <v>20</v>
      </c>
      <c r="E1171" s="6" t="str">
        <f t="shared" si="56"/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57"/>
        <v>Voluntary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55"/>
        <v>24</v>
      </c>
      <c r="E1172" s="6" t="str">
        <f t="shared" si="56"/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57"/>
        <v>Voluntary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55"/>
        <v>15</v>
      </c>
      <c r="E1173" s="6" t="str">
        <f t="shared" si="56"/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57"/>
        <v>Voluntary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55"/>
        <v>29</v>
      </c>
      <c r="E1174" s="6" t="str">
        <f t="shared" si="56"/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57"/>
        <v>Voluntary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55"/>
        <v>22</v>
      </c>
      <c r="E1175" s="6" t="str">
        <f t="shared" si="56"/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57"/>
        <v>Voluntary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55"/>
        <v>11</v>
      </c>
      <c r="E1176" s="6" t="str">
        <f t="shared" si="56"/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57"/>
        <v>Voluntary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55"/>
        <v>25</v>
      </c>
      <c r="E1177" s="6" t="str">
        <f t="shared" si="56"/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57"/>
        <v>Voluntary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55"/>
        <v>19</v>
      </c>
      <c r="E1178" s="6" t="str">
        <f t="shared" si="56"/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57"/>
        <v>Involuntary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55"/>
        <v>24</v>
      </c>
      <c r="E1179" s="6" t="str">
        <f t="shared" si="56"/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57"/>
        <v>Voluntary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55"/>
        <v>19</v>
      </c>
      <c r="E1180" s="6" t="str">
        <f t="shared" si="56"/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57"/>
        <v>Voluntary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55"/>
        <v>27</v>
      </c>
      <c r="E1181" s="6" t="str">
        <f t="shared" si="56"/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57"/>
        <v>Voluntary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55"/>
        <v>24</v>
      </c>
      <c r="E1182" s="6" t="str">
        <f t="shared" si="56"/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57"/>
        <v>Involuntary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55"/>
        <v>20</v>
      </c>
      <c r="E1183" s="6" t="str">
        <f t="shared" si="56"/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57"/>
        <v>Voluntary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55"/>
        <v>19</v>
      </c>
      <c r="E1184" s="6" t="str">
        <f t="shared" si="56"/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57"/>
        <v>Voluntary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55"/>
        <v>25</v>
      </c>
      <c r="E1185" s="6" t="str">
        <f t="shared" si="56"/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57"/>
        <v>Voluntary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55"/>
        <v>22</v>
      </c>
      <c r="E1186" s="6" t="str">
        <f t="shared" si="56"/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57"/>
        <v>Voluntary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55"/>
        <v>5</v>
      </c>
      <c r="E1187" s="6" t="str">
        <f t="shared" si="56"/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57"/>
        <v>Voluntary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55"/>
        <v>26</v>
      </c>
      <c r="E1188" s="6" t="str">
        <f t="shared" si="56"/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57"/>
        <v>Voluntary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55"/>
        <v>20</v>
      </c>
      <c r="E1189" s="6" t="str">
        <f t="shared" si="56"/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57"/>
        <v>Involuntary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55"/>
        <v>23</v>
      </c>
      <c r="E1190" s="6" t="str">
        <f t="shared" si="56"/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57"/>
        <v>Involuntary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55"/>
        <v>19</v>
      </c>
      <c r="E1191" s="6" t="str">
        <f t="shared" si="56"/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57"/>
        <v>Voluntary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55"/>
        <v>22</v>
      </c>
      <c r="E1192" s="6" t="str">
        <f t="shared" si="56"/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57"/>
        <v>Voluntary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55"/>
        <v>30</v>
      </c>
      <c r="E1193" s="6" t="str">
        <f t="shared" si="56"/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57"/>
        <v>Involuntary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55"/>
        <v>12</v>
      </c>
      <c r="E1194" s="6" t="str">
        <f t="shared" si="56"/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57"/>
        <v>Voluntary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55"/>
        <v>15</v>
      </c>
      <c r="E1195" s="6" t="str">
        <f t="shared" si="56"/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57"/>
        <v>Voluntary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55"/>
        <v>15</v>
      </c>
      <c r="E1196" s="6" t="str">
        <f t="shared" si="56"/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57"/>
        <v>Involuntary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55"/>
        <v>29</v>
      </c>
      <c r="E1197" s="6" t="str">
        <f t="shared" si="56"/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57"/>
        <v>Involuntary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55"/>
        <v>22</v>
      </c>
      <c r="E1198" s="6" t="str">
        <f t="shared" si="56"/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57"/>
        <v>Voluntary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55"/>
        <v>18</v>
      </c>
      <c r="E1199" s="6" t="str">
        <f t="shared" si="56"/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57"/>
        <v>Voluntary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55"/>
        <v>9</v>
      </c>
      <c r="E1200" s="6" t="b">
        <f t="shared" si="56"/>
        <v>0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57"/>
        <v>Voluntary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55"/>
        <v>17</v>
      </c>
      <c r="E1201" s="6" t="str">
        <f t="shared" si="56"/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57"/>
        <v>Voluntary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55"/>
        <v>23</v>
      </c>
      <c r="E1202" s="6" t="str">
        <f t="shared" si="56"/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57"/>
        <v>Voluntary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55"/>
        <v>8</v>
      </c>
      <c r="E1203" s="6" t="b">
        <f t="shared" si="56"/>
        <v>0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57"/>
        <v>Voluntary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55"/>
        <v>22</v>
      </c>
      <c r="E1204" s="6" t="str">
        <f t="shared" si="56"/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57"/>
        <v>Voluntary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55"/>
        <v>16</v>
      </c>
      <c r="E1205" s="6" t="str">
        <f t="shared" si="56"/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57"/>
        <v>Voluntary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55"/>
        <v>24</v>
      </c>
      <c r="E1206" s="6" t="str">
        <f t="shared" si="56"/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57"/>
        <v>Voluntary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55"/>
        <v>13</v>
      </c>
      <c r="E1207" s="6" t="str">
        <f t="shared" si="56"/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57"/>
        <v>Voluntary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55"/>
        <v>29</v>
      </c>
      <c r="E1208" s="6" t="str">
        <f t="shared" si="56"/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57"/>
        <v>Voluntary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55"/>
        <v>12</v>
      </c>
      <c r="E1209" s="6" t="str">
        <f t="shared" si="56"/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57"/>
        <v>Voluntary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55"/>
        <v>25</v>
      </c>
      <c r="E1210" s="6" t="str">
        <f t="shared" si="56"/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57"/>
        <v>Voluntary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55"/>
        <v>6</v>
      </c>
      <c r="E1211" s="6" t="b">
        <f t="shared" si="56"/>
        <v>0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57"/>
        <v>Voluntary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55"/>
        <v>7</v>
      </c>
      <c r="E1212" s="6" t="b">
        <f t="shared" si="56"/>
        <v>0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57"/>
        <v>Voluntary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55"/>
        <v>8</v>
      </c>
      <c r="E1213" s="6" t="b">
        <f t="shared" si="56"/>
        <v>0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57"/>
        <v>Voluntary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55"/>
        <v>25</v>
      </c>
      <c r="E1214" s="6" t="str">
        <f t="shared" si="56"/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57"/>
        <v>Voluntary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55"/>
        <v>21</v>
      </c>
      <c r="E1215" s="6" t="str">
        <f t="shared" si="56"/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57"/>
        <v>Voluntary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55"/>
        <v>5</v>
      </c>
      <c r="E1216" s="6" t="str">
        <f t="shared" si="56"/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57"/>
        <v>Voluntary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55"/>
        <v>10</v>
      </c>
      <c r="E1217" s="6" t="b">
        <f t="shared" si="56"/>
        <v>0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57"/>
        <v>Voluntary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55"/>
        <v>21</v>
      </c>
      <c r="E1218" s="6" t="str">
        <f t="shared" si="56"/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57"/>
        <v>Involuntary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58">YEAR(C1219)-YEAR(B1219)</f>
        <v>19</v>
      </c>
      <c r="E1219" s="6" t="str">
        <f t="shared" ref="E1219:E1282" si="59">IF(D1219&lt;=5,"NEWCOMER",IF(D1219&gt;10,"EXPERT"))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si="57"/>
        <v>Involuntary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58"/>
        <v>5</v>
      </c>
      <c r="E1220" s="6" t="str">
        <f t="shared" si="59"/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ref="M1220:M1283" si="60">IF(OR(L1220="Resignation", L1220="Retirement"), "Voluntary", IF(L1220="Layoff", "Involuntary", "Other"))</f>
        <v>Voluntary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58"/>
        <v>6</v>
      </c>
      <c r="E1221" s="6" t="b">
        <f t="shared" si="59"/>
        <v>0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60"/>
        <v>Voluntary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58"/>
        <v>12</v>
      </c>
      <c r="E1222" s="6" t="str">
        <f t="shared" si="59"/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60"/>
        <v>Voluntary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58"/>
        <v>13</v>
      </c>
      <c r="E1223" s="6" t="str">
        <f t="shared" si="59"/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si="60"/>
        <v>Voluntary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58"/>
        <v>16</v>
      </c>
      <c r="E1224" s="6" t="str">
        <f t="shared" si="59"/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60"/>
        <v>Involuntary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58"/>
        <v>22</v>
      </c>
      <c r="E1225" s="6" t="str">
        <f t="shared" si="59"/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60"/>
        <v>Voluntary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58"/>
        <v>22</v>
      </c>
      <c r="E1226" s="6" t="str">
        <f t="shared" si="59"/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60"/>
        <v>Voluntary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58"/>
        <v>10</v>
      </c>
      <c r="E1227" s="6" t="b">
        <f t="shared" si="59"/>
        <v>0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60"/>
        <v>Voluntary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58"/>
        <v>30</v>
      </c>
      <c r="E1228" s="6" t="str">
        <f t="shared" si="59"/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60"/>
        <v>Voluntary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58"/>
        <v>15</v>
      </c>
      <c r="E1229" s="6" t="str">
        <f t="shared" si="59"/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60"/>
        <v>Voluntary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58"/>
        <v>27</v>
      </c>
      <c r="E1230" s="6" t="str">
        <f t="shared" si="59"/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60"/>
        <v>Voluntary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58"/>
        <v>28</v>
      </c>
      <c r="E1231" s="6" t="str">
        <f t="shared" si="59"/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60"/>
        <v>Voluntary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58"/>
        <v>29</v>
      </c>
      <c r="E1232" s="6" t="str">
        <f t="shared" si="59"/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60"/>
        <v>Involuntary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58"/>
        <v>5</v>
      </c>
      <c r="E1233" s="6" t="str">
        <f t="shared" si="59"/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60"/>
        <v>Involuntary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58"/>
        <v>13</v>
      </c>
      <c r="E1234" s="6" t="str">
        <f t="shared" si="59"/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60"/>
        <v>Voluntary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58"/>
        <v>27</v>
      </c>
      <c r="E1235" s="6" t="str">
        <f t="shared" si="59"/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60"/>
        <v>Voluntary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58"/>
        <v>13</v>
      </c>
      <c r="E1236" s="6" t="str">
        <f t="shared" si="59"/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60"/>
        <v>Voluntary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58"/>
        <v>8</v>
      </c>
      <c r="E1237" s="6" t="b">
        <f t="shared" si="59"/>
        <v>0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60"/>
        <v>Involuntary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58"/>
        <v>17</v>
      </c>
      <c r="E1238" s="6" t="str">
        <f t="shared" si="59"/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60"/>
        <v>Involuntary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58"/>
        <v>5</v>
      </c>
      <c r="E1239" s="6" t="str">
        <f t="shared" si="59"/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60"/>
        <v>Voluntary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58"/>
        <v>25</v>
      </c>
      <c r="E1240" s="6" t="str">
        <f t="shared" si="59"/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60"/>
        <v>Involuntary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58"/>
        <v>11</v>
      </c>
      <c r="E1241" s="6" t="str">
        <f t="shared" si="59"/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60"/>
        <v>Involuntary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58"/>
        <v>21</v>
      </c>
      <c r="E1242" s="6" t="str">
        <f t="shared" si="59"/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60"/>
        <v>Involuntary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58"/>
        <v>12</v>
      </c>
      <c r="E1243" s="6" t="str">
        <f t="shared" si="59"/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60"/>
        <v>Voluntary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58"/>
        <v>25</v>
      </c>
      <c r="E1244" s="6" t="str">
        <f t="shared" si="59"/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60"/>
        <v>Voluntary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58"/>
        <v>6</v>
      </c>
      <c r="E1245" s="6" t="b">
        <f t="shared" si="59"/>
        <v>0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60"/>
        <v>Voluntary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58"/>
        <v>7</v>
      </c>
      <c r="E1246" s="6" t="b">
        <f t="shared" si="59"/>
        <v>0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60"/>
        <v>Voluntary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58"/>
        <v>12</v>
      </c>
      <c r="E1247" s="6" t="str">
        <f t="shared" si="59"/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60"/>
        <v>Voluntary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58"/>
        <v>27</v>
      </c>
      <c r="E1248" s="6" t="str">
        <f t="shared" si="59"/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60"/>
        <v>Voluntary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58"/>
        <v>26</v>
      </c>
      <c r="E1249" s="6" t="str">
        <f t="shared" si="59"/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60"/>
        <v>Involuntary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58"/>
        <v>10</v>
      </c>
      <c r="E1250" s="6" t="b">
        <f t="shared" si="59"/>
        <v>0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60"/>
        <v>Voluntary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58"/>
        <v>5</v>
      </c>
      <c r="E1251" s="6" t="str">
        <f t="shared" si="59"/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60"/>
        <v>Voluntary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58"/>
        <v>14</v>
      </c>
      <c r="E1252" s="6" t="str">
        <f t="shared" si="59"/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60"/>
        <v>Voluntary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58"/>
        <v>18</v>
      </c>
      <c r="E1253" s="6" t="str">
        <f t="shared" si="59"/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60"/>
        <v>Voluntary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58"/>
        <v>13</v>
      </c>
      <c r="E1254" s="6" t="str">
        <f t="shared" si="59"/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60"/>
        <v>Voluntary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58"/>
        <v>24</v>
      </c>
      <c r="E1255" s="6" t="str">
        <f t="shared" si="59"/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60"/>
        <v>Voluntary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58"/>
        <v>6</v>
      </c>
      <c r="E1256" s="6" t="b">
        <f t="shared" si="59"/>
        <v>0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60"/>
        <v>Involuntary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58"/>
        <v>29</v>
      </c>
      <c r="E1257" s="6" t="str">
        <f t="shared" si="59"/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60"/>
        <v>Voluntary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58"/>
        <v>11</v>
      </c>
      <c r="E1258" s="6" t="str">
        <f t="shared" si="59"/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60"/>
        <v>Involuntary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58"/>
        <v>19</v>
      </c>
      <c r="E1259" s="6" t="str">
        <f t="shared" si="59"/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60"/>
        <v>Involuntary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58"/>
        <v>13</v>
      </c>
      <c r="E1260" s="6" t="str">
        <f t="shared" si="59"/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60"/>
        <v>Voluntary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58"/>
        <v>20</v>
      </c>
      <c r="E1261" s="6" t="str">
        <f t="shared" si="59"/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60"/>
        <v>Voluntary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58"/>
        <v>11</v>
      </c>
      <c r="E1262" s="6" t="str">
        <f t="shared" si="59"/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60"/>
        <v>Voluntary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58"/>
        <v>29</v>
      </c>
      <c r="E1263" s="6" t="str">
        <f t="shared" si="59"/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60"/>
        <v>Voluntary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58"/>
        <v>20</v>
      </c>
      <c r="E1264" s="6" t="str">
        <f t="shared" si="59"/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60"/>
        <v>Voluntary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58"/>
        <v>10</v>
      </c>
      <c r="E1265" s="6" t="b">
        <f t="shared" si="59"/>
        <v>0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60"/>
        <v>Voluntary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58"/>
        <v>28</v>
      </c>
      <c r="E1266" s="6" t="str">
        <f t="shared" si="59"/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60"/>
        <v>Voluntary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58"/>
        <v>17</v>
      </c>
      <c r="E1267" s="6" t="str">
        <f t="shared" si="59"/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60"/>
        <v>Voluntary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58"/>
        <v>18</v>
      </c>
      <c r="E1268" s="6" t="str">
        <f t="shared" si="59"/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60"/>
        <v>Voluntary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58"/>
        <v>7</v>
      </c>
      <c r="E1269" s="6" t="b">
        <f t="shared" si="59"/>
        <v>0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60"/>
        <v>Voluntary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58"/>
        <v>21</v>
      </c>
      <c r="E1270" s="6" t="str">
        <f t="shared" si="59"/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60"/>
        <v>Involuntary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58"/>
        <v>7</v>
      </c>
      <c r="E1271" s="6" t="b">
        <f t="shared" si="59"/>
        <v>0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60"/>
        <v>Voluntary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58"/>
        <v>13</v>
      </c>
      <c r="E1272" s="6" t="str">
        <f t="shared" si="59"/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60"/>
        <v>Involuntary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58"/>
        <v>23</v>
      </c>
      <c r="E1273" s="6" t="str">
        <f t="shared" si="59"/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60"/>
        <v>Voluntary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58"/>
        <v>26</v>
      </c>
      <c r="E1274" s="6" t="str">
        <f t="shared" si="59"/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60"/>
        <v>Voluntary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58"/>
        <v>8</v>
      </c>
      <c r="E1275" s="6" t="b">
        <f t="shared" si="59"/>
        <v>0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60"/>
        <v>Involuntary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58"/>
        <v>15</v>
      </c>
      <c r="E1276" s="6" t="str">
        <f t="shared" si="59"/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60"/>
        <v>Voluntary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58"/>
        <v>23</v>
      </c>
      <c r="E1277" s="6" t="str">
        <f t="shared" si="59"/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60"/>
        <v>Voluntary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58"/>
        <v>16</v>
      </c>
      <c r="E1278" s="6" t="str">
        <f t="shared" si="59"/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60"/>
        <v>Voluntary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58"/>
        <v>15</v>
      </c>
      <c r="E1279" s="6" t="str">
        <f t="shared" si="59"/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60"/>
        <v>Voluntary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58"/>
        <v>20</v>
      </c>
      <c r="E1280" s="6" t="str">
        <f t="shared" si="59"/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60"/>
        <v>Involuntary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58"/>
        <v>18</v>
      </c>
      <c r="E1281" s="6" t="str">
        <f t="shared" si="59"/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60"/>
        <v>Voluntary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58"/>
        <v>17</v>
      </c>
      <c r="E1282" s="6" t="str">
        <f t="shared" si="59"/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60"/>
        <v>Voluntary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61">YEAR(C1283)-YEAR(B1283)</f>
        <v>13</v>
      </c>
      <c r="E1283" s="6" t="str">
        <f t="shared" ref="E1283:E1346" si="62">IF(D1283&lt;=5,"NEWCOMER",IF(D1283&gt;10,"EXPERT"))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si="60"/>
        <v>Voluntary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61"/>
        <v>28</v>
      </c>
      <c r="E1284" s="6" t="str">
        <f t="shared" si="62"/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ref="M1284:M1347" si="63">IF(OR(L1284="Resignation", L1284="Retirement"), "Voluntary", IF(L1284="Layoff", "Involuntary", "Other"))</f>
        <v>Voluntary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61"/>
        <v>10</v>
      </c>
      <c r="E1285" s="6" t="b">
        <f t="shared" si="62"/>
        <v>0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63"/>
        <v>Voluntary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61"/>
        <v>30</v>
      </c>
      <c r="E1286" s="6" t="str">
        <f t="shared" si="62"/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63"/>
        <v>Involuntary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61"/>
        <v>28</v>
      </c>
      <c r="E1287" s="6" t="str">
        <f t="shared" si="62"/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si="63"/>
        <v>Involuntary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61"/>
        <v>19</v>
      </c>
      <c r="E1288" s="6" t="str">
        <f t="shared" si="62"/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63"/>
        <v>Voluntary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61"/>
        <v>14</v>
      </c>
      <c r="E1289" s="6" t="str">
        <f t="shared" si="62"/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63"/>
        <v>Involuntary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61"/>
        <v>29</v>
      </c>
      <c r="E1290" s="6" t="str">
        <f t="shared" si="62"/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63"/>
        <v>Voluntary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61"/>
        <v>8</v>
      </c>
      <c r="E1291" s="6" t="b">
        <f t="shared" si="62"/>
        <v>0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63"/>
        <v>Involuntary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61"/>
        <v>20</v>
      </c>
      <c r="E1292" s="6" t="str">
        <f t="shared" si="62"/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63"/>
        <v>Involuntary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61"/>
        <v>24</v>
      </c>
      <c r="E1293" s="6" t="str">
        <f t="shared" si="62"/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63"/>
        <v>Voluntary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61"/>
        <v>20</v>
      </c>
      <c r="E1294" s="6" t="str">
        <f t="shared" si="62"/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63"/>
        <v>Involuntary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61"/>
        <v>23</v>
      </c>
      <c r="E1295" s="6" t="str">
        <f t="shared" si="62"/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63"/>
        <v>Involuntary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61"/>
        <v>22</v>
      </c>
      <c r="E1296" s="6" t="str">
        <f t="shared" si="62"/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63"/>
        <v>Voluntary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61"/>
        <v>8</v>
      </c>
      <c r="E1297" s="6" t="b">
        <f t="shared" si="62"/>
        <v>0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63"/>
        <v>Voluntary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61"/>
        <v>8</v>
      </c>
      <c r="E1298" s="6" t="b">
        <f t="shared" si="62"/>
        <v>0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63"/>
        <v>Involuntary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61"/>
        <v>11</v>
      </c>
      <c r="E1299" s="6" t="str">
        <f t="shared" si="62"/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63"/>
        <v>Voluntary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61"/>
        <v>11</v>
      </c>
      <c r="E1300" s="6" t="str">
        <f t="shared" si="62"/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63"/>
        <v>Voluntary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61"/>
        <v>8</v>
      </c>
      <c r="E1301" s="6" t="b">
        <f t="shared" si="62"/>
        <v>0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63"/>
        <v>Voluntary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61"/>
        <v>30</v>
      </c>
      <c r="E1302" s="6" t="str">
        <f t="shared" si="62"/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63"/>
        <v>Voluntary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61"/>
        <v>17</v>
      </c>
      <c r="E1303" s="6" t="str">
        <f t="shared" si="62"/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63"/>
        <v>Voluntary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61"/>
        <v>14</v>
      </c>
      <c r="E1304" s="6" t="str">
        <f t="shared" si="62"/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63"/>
        <v>Voluntary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61"/>
        <v>18</v>
      </c>
      <c r="E1305" s="6" t="str">
        <f t="shared" si="62"/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63"/>
        <v>Voluntary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61"/>
        <v>16</v>
      </c>
      <c r="E1306" s="6" t="str">
        <f t="shared" si="62"/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63"/>
        <v>Voluntary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61"/>
        <v>26</v>
      </c>
      <c r="E1307" s="6" t="str">
        <f t="shared" si="62"/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63"/>
        <v>Voluntary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61"/>
        <v>13</v>
      </c>
      <c r="E1308" s="6" t="str">
        <f t="shared" si="62"/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63"/>
        <v>Voluntary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61"/>
        <v>11</v>
      </c>
      <c r="E1309" s="6" t="str">
        <f t="shared" si="62"/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63"/>
        <v>Involuntary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61"/>
        <v>13</v>
      </c>
      <c r="E1310" s="6" t="str">
        <f t="shared" si="62"/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63"/>
        <v>Voluntary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61"/>
        <v>8</v>
      </c>
      <c r="E1311" s="6" t="b">
        <f t="shared" si="62"/>
        <v>0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63"/>
        <v>Voluntary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61"/>
        <v>27</v>
      </c>
      <c r="E1312" s="6" t="str">
        <f t="shared" si="62"/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63"/>
        <v>Voluntary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61"/>
        <v>15</v>
      </c>
      <c r="E1313" s="6" t="str">
        <f t="shared" si="62"/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63"/>
        <v>Voluntary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61"/>
        <v>7</v>
      </c>
      <c r="E1314" s="6" t="b">
        <f t="shared" si="62"/>
        <v>0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63"/>
        <v>Voluntary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61"/>
        <v>16</v>
      </c>
      <c r="E1315" s="6" t="str">
        <f t="shared" si="62"/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63"/>
        <v>Voluntary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61"/>
        <v>24</v>
      </c>
      <c r="E1316" s="6" t="str">
        <f t="shared" si="62"/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63"/>
        <v>Involuntary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61"/>
        <v>7</v>
      </c>
      <c r="E1317" s="6" t="b">
        <f t="shared" si="62"/>
        <v>0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63"/>
        <v>Involuntary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61"/>
        <v>24</v>
      </c>
      <c r="E1318" s="6" t="str">
        <f t="shared" si="62"/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63"/>
        <v>Voluntary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61"/>
        <v>11</v>
      </c>
      <c r="E1319" s="6" t="str">
        <f t="shared" si="62"/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63"/>
        <v>Involuntary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61"/>
        <v>19</v>
      </c>
      <c r="E1320" s="6" t="str">
        <f t="shared" si="62"/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63"/>
        <v>Voluntary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61"/>
        <v>19</v>
      </c>
      <c r="E1321" s="6" t="str">
        <f t="shared" si="62"/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63"/>
        <v>Voluntary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61"/>
        <v>22</v>
      </c>
      <c r="E1322" s="6" t="str">
        <f t="shared" si="62"/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63"/>
        <v>Voluntary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61"/>
        <v>18</v>
      </c>
      <c r="E1323" s="6" t="str">
        <f t="shared" si="62"/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63"/>
        <v>Voluntary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61"/>
        <v>21</v>
      </c>
      <c r="E1324" s="6" t="str">
        <f t="shared" si="62"/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63"/>
        <v>Voluntary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61"/>
        <v>26</v>
      </c>
      <c r="E1325" s="6" t="str">
        <f t="shared" si="62"/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63"/>
        <v>Voluntary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61"/>
        <v>23</v>
      </c>
      <c r="E1326" s="6" t="str">
        <f t="shared" si="62"/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63"/>
        <v>Voluntary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61"/>
        <v>10</v>
      </c>
      <c r="E1327" s="6" t="b">
        <f t="shared" si="62"/>
        <v>0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63"/>
        <v>Voluntary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61"/>
        <v>9</v>
      </c>
      <c r="E1328" s="6" t="b">
        <f t="shared" si="62"/>
        <v>0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63"/>
        <v>Voluntary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61"/>
        <v>6</v>
      </c>
      <c r="E1329" s="6" t="b">
        <f t="shared" si="62"/>
        <v>0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63"/>
        <v>Voluntary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61"/>
        <v>24</v>
      </c>
      <c r="E1330" s="6" t="str">
        <f t="shared" si="62"/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63"/>
        <v>Involuntary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61"/>
        <v>29</v>
      </c>
      <c r="E1331" s="6" t="str">
        <f t="shared" si="62"/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63"/>
        <v>Voluntary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61"/>
        <v>6</v>
      </c>
      <c r="E1332" s="6" t="b">
        <f t="shared" si="62"/>
        <v>0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63"/>
        <v>Voluntary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61"/>
        <v>23</v>
      </c>
      <c r="E1333" s="6" t="str">
        <f t="shared" si="62"/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63"/>
        <v>Involuntary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61"/>
        <v>6</v>
      </c>
      <c r="E1334" s="6" t="b">
        <f t="shared" si="62"/>
        <v>0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63"/>
        <v>Voluntary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61"/>
        <v>24</v>
      </c>
      <c r="E1335" s="6" t="str">
        <f t="shared" si="62"/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63"/>
        <v>Voluntary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61"/>
        <v>6</v>
      </c>
      <c r="E1336" s="6" t="b">
        <f t="shared" si="62"/>
        <v>0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63"/>
        <v>Voluntary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61"/>
        <v>23</v>
      </c>
      <c r="E1337" s="6" t="str">
        <f t="shared" si="62"/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63"/>
        <v>Voluntary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61"/>
        <v>21</v>
      </c>
      <c r="E1338" s="6" t="str">
        <f t="shared" si="62"/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63"/>
        <v>Voluntary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61"/>
        <v>23</v>
      </c>
      <c r="E1339" s="6" t="str">
        <f t="shared" si="62"/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63"/>
        <v>Voluntary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61"/>
        <v>27</v>
      </c>
      <c r="E1340" s="6" t="str">
        <f t="shared" si="62"/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63"/>
        <v>Voluntary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61"/>
        <v>21</v>
      </c>
      <c r="E1341" s="6" t="str">
        <f t="shared" si="62"/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63"/>
        <v>Voluntary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61"/>
        <v>27</v>
      </c>
      <c r="E1342" s="6" t="str">
        <f t="shared" si="62"/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63"/>
        <v>Voluntary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61"/>
        <v>5</v>
      </c>
      <c r="E1343" s="6" t="str">
        <f t="shared" si="62"/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63"/>
        <v>Voluntary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61"/>
        <v>18</v>
      </c>
      <c r="E1344" s="6" t="str">
        <f t="shared" si="62"/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63"/>
        <v>Voluntary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61"/>
        <v>16</v>
      </c>
      <c r="E1345" s="6" t="str">
        <f t="shared" si="62"/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63"/>
        <v>Involuntary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61"/>
        <v>17</v>
      </c>
      <c r="E1346" s="6" t="str">
        <f t="shared" si="62"/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63"/>
        <v>Voluntary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64">YEAR(C1347)-YEAR(B1347)</f>
        <v>14</v>
      </c>
      <c r="E1347" s="6" t="str">
        <f t="shared" ref="E1347:E1410" si="65">IF(D1347&lt;=5,"NEWCOMER",IF(D1347&gt;10,"EXPERT"))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si="63"/>
        <v>Voluntary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64"/>
        <v>14</v>
      </c>
      <c r="E1348" s="6" t="str">
        <f t="shared" si="65"/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ref="M1348:M1411" si="66">IF(OR(L1348="Resignation", L1348="Retirement"), "Voluntary", IF(L1348="Layoff", "Involuntary", "Other"))</f>
        <v>Involuntary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64"/>
        <v>18</v>
      </c>
      <c r="E1349" s="6" t="str">
        <f t="shared" si="65"/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66"/>
        <v>Voluntary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64"/>
        <v>26</v>
      </c>
      <c r="E1350" s="6" t="str">
        <f t="shared" si="65"/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66"/>
        <v>Voluntary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64"/>
        <v>16</v>
      </c>
      <c r="E1351" s="6" t="str">
        <f t="shared" si="65"/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si="66"/>
        <v>Voluntary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64"/>
        <v>27</v>
      </c>
      <c r="E1352" s="6" t="str">
        <f t="shared" si="65"/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66"/>
        <v>Voluntary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64"/>
        <v>6</v>
      </c>
      <c r="E1353" s="6" t="b">
        <f t="shared" si="65"/>
        <v>0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66"/>
        <v>Voluntary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64"/>
        <v>15</v>
      </c>
      <c r="E1354" s="6" t="str">
        <f t="shared" si="65"/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66"/>
        <v>Voluntary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64"/>
        <v>24</v>
      </c>
      <c r="E1355" s="6" t="str">
        <f t="shared" si="65"/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66"/>
        <v>Voluntary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64"/>
        <v>7</v>
      </c>
      <c r="E1356" s="6" t="b">
        <f t="shared" si="65"/>
        <v>0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66"/>
        <v>Voluntary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64"/>
        <v>21</v>
      </c>
      <c r="E1357" s="6" t="str">
        <f t="shared" si="65"/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66"/>
        <v>Voluntary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64"/>
        <v>27</v>
      </c>
      <c r="E1358" s="6" t="str">
        <f t="shared" si="65"/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66"/>
        <v>Voluntary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64"/>
        <v>16</v>
      </c>
      <c r="E1359" s="6" t="str">
        <f t="shared" si="65"/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66"/>
        <v>Voluntary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64"/>
        <v>20</v>
      </c>
      <c r="E1360" s="6" t="str">
        <f t="shared" si="65"/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66"/>
        <v>Voluntary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64"/>
        <v>26</v>
      </c>
      <c r="E1361" s="6" t="str">
        <f t="shared" si="65"/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66"/>
        <v>Voluntary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64"/>
        <v>16</v>
      </c>
      <c r="E1362" s="6" t="str">
        <f t="shared" si="65"/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66"/>
        <v>Voluntary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64"/>
        <v>9</v>
      </c>
      <c r="E1363" s="6" t="b">
        <f t="shared" si="65"/>
        <v>0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66"/>
        <v>Voluntary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64"/>
        <v>20</v>
      </c>
      <c r="E1364" s="6" t="str">
        <f t="shared" si="65"/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66"/>
        <v>Voluntary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64"/>
        <v>19</v>
      </c>
      <c r="E1365" s="6" t="str">
        <f t="shared" si="65"/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66"/>
        <v>Voluntary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64"/>
        <v>23</v>
      </c>
      <c r="E1366" s="6" t="str">
        <f t="shared" si="65"/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66"/>
        <v>Involuntary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64"/>
        <v>19</v>
      </c>
      <c r="E1367" s="6" t="str">
        <f t="shared" si="65"/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66"/>
        <v>Involuntary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64"/>
        <v>30</v>
      </c>
      <c r="E1368" s="6" t="str">
        <f t="shared" si="65"/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66"/>
        <v>Involuntary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64"/>
        <v>20</v>
      </c>
      <c r="E1369" s="6" t="str">
        <f t="shared" si="65"/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66"/>
        <v>Voluntary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64"/>
        <v>24</v>
      </c>
      <c r="E1370" s="6" t="str">
        <f t="shared" si="65"/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66"/>
        <v>Voluntary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64"/>
        <v>11</v>
      </c>
      <c r="E1371" s="6" t="str">
        <f t="shared" si="65"/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66"/>
        <v>Voluntary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64"/>
        <v>17</v>
      </c>
      <c r="E1372" s="6" t="str">
        <f t="shared" si="65"/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66"/>
        <v>Voluntary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64"/>
        <v>20</v>
      </c>
      <c r="E1373" s="6" t="str">
        <f t="shared" si="65"/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66"/>
        <v>Voluntary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64"/>
        <v>27</v>
      </c>
      <c r="E1374" s="6" t="str">
        <f t="shared" si="65"/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66"/>
        <v>Voluntary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64"/>
        <v>30</v>
      </c>
      <c r="E1375" s="6" t="str">
        <f t="shared" si="65"/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66"/>
        <v>Voluntary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64"/>
        <v>10</v>
      </c>
      <c r="E1376" s="6" t="b">
        <f t="shared" si="65"/>
        <v>0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66"/>
        <v>Voluntary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64"/>
        <v>21</v>
      </c>
      <c r="E1377" s="6" t="str">
        <f t="shared" si="65"/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66"/>
        <v>Voluntary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64"/>
        <v>10</v>
      </c>
      <c r="E1378" s="6" t="b">
        <f t="shared" si="65"/>
        <v>0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66"/>
        <v>Voluntary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64"/>
        <v>30</v>
      </c>
      <c r="E1379" s="6" t="str">
        <f t="shared" si="65"/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66"/>
        <v>Involuntary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64"/>
        <v>19</v>
      </c>
      <c r="E1380" s="6" t="str">
        <f t="shared" si="65"/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66"/>
        <v>Voluntary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64"/>
        <v>24</v>
      </c>
      <c r="E1381" s="6" t="str">
        <f t="shared" si="65"/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66"/>
        <v>Voluntary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64"/>
        <v>9</v>
      </c>
      <c r="E1382" s="6" t="b">
        <f t="shared" si="65"/>
        <v>0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66"/>
        <v>Voluntary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64"/>
        <v>7</v>
      </c>
      <c r="E1383" s="6" t="b">
        <f t="shared" si="65"/>
        <v>0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66"/>
        <v>Voluntary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64"/>
        <v>7</v>
      </c>
      <c r="E1384" s="6" t="b">
        <f t="shared" si="65"/>
        <v>0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66"/>
        <v>Voluntary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64"/>
        <v>21</v>
      </c>
      <c r="E1385" s="6" t="str">
        <f t="shared" si="65"/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66"/>
        <v>Voluntary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64"/>
        <v>14</v>
      </c>
      <c r="E1386" s="6" t="str">
        <f t="shared" si="65"/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66"/>
        <v>Involuntary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64"/>
        <v>22</v>
      </c>
      <c r="E1387" s="6" t="str">
        <f t="shared" si="65"/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66"/>
        <v>Voluntary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64"/>
        <v>27</v>
      </c>
      <c r="E1388" s="6" t="str">
        <f t="shared" si="65"/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66"/>
        <v>Voluntary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64"/>
        <v>18</v>
      </c>
      <c r="E1389" s="6" t="str">
        <f t="shared" si="65"/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66"/>
        <v>Involuntary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64"/>
        <v>6</v>
      </c>
      <c r="E1390" s="6" t="b">
        <f t="shared" si="65"/>
        <v>0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66"/>
        <v>Involuntary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64"/>
        <v>11</v>
      </c>
      <c r="E1391" s="6" t="str">
        <f t="shared" si="65"/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66"/>
        <v>Voluntary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64"/>
        <v>25</v>
      </c>
      <c r="E1392" s="6" t="str">
        <f t="shared" si="65"/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66"/>
        <v>Involuntary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64"/>
        <v>11</v>
      </c>
      <c r="E1393" s="6" t="str">
        <f t="shared" si="65"/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66"/>
        <v>Involuntary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64"/>
        <v>19</v>
      </c>
      <c r="E1394" s="6" t="str">
        <f t="shared" si="65"/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66"/>
        <v>Voluntary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64"/>
        <v>19</v>
      </c>
      <c r="E1395" s="6" t="str">
        <f t="shared" si="65"/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66"/>
        <v>Voluntary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64"/>
        <v>23</v>
      </c>
      <c r="E1396" s="6" t="str">
        <f t="shared" si="65"/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66"/>
        <v>Involuntary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64"/>
        <v>14</v>
      </c>
      <c r="E1397" s="6" t="str">
        <f t="shared" si="65"/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66"/>
        <v>Voluntary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64"/>
        <v>10</v>
      </c>
      <c r="E1398" s="6" t="b">
        <f t="shared" si="65"/>
        <v>0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66"/>
        <v>Voluntary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64"/>
        <v>17</v>
      </c>
      <c r="E1399" s="6" t="str">
        <f t="shared" si="65"/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66"/>
        <v>Involuntary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64"/>
        <v>16</v>
      </c>
      <c r="E1400" s="6" t="str">
        <f t="shared" si="65"/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66"/>
        <v>Involuntary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64"/>
        <v>20</v>
      </c>
      <c r="E1401" s="6" t="str">
        <f t="shared" si="65"/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66"/>
        <v>Involuntary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64"/>
        <v>6</v>
      </c>
      <c r="E1402" s="6" t="b">
        <f t="shared" si="65"/>
        <v>0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66"/>
        <v>Voluntary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64"/>
        <v>11</v>
      </c>
      <c r="E1403" s="6" t="str">
        <f t="shared" si="65"/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66"/>
        <v>Involuntary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64"/>
        <v>24</v>
      </c>
      <c r="E1404" s="6" t="str">
        <f t="shared" si="65"/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66"/>
        <v>Involuntary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64"/>
        <v>5</v>
      </c>
      <c r="E1405" s="6" t="str">
        <f t="shared" si="65"/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66"/>
        <v>Involuntary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64"/>
        <v>29</v>
      </c>
      <c r="E1406" s="6" t="str">
        <f t="shared" si="65"/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66"/>
        <v>Involuntary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64"/>
        <v>5</v>
      </c>
      <c r="E1407" s="6" t="str">
        <f t="shared" si="65"/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66"/>
        <v>Voluntary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64"/>
        <v>15</v>
      </c>
      <c r="E1408" s="6" t="str">
        <f t="shared" si="65"/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66"/>
        <v>Voluntary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64"/>
        <v>25</v>
      </c>
      <c r="E1409" s="6" t="str">
        <f t="shared" si="65"/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66"/>
        <v>Voluntary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64"/>
        <v>27</v>
      </c>
      <c r="E1410" s="6" t="str">
        <f t="shared" si="65"/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66"/>
        <v>Voluntary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67">YEAR(C1411)-YEAR(B1411)</f>
        <v>17</v>
      </c>
      <c r="E1411" s="6" t="str">
        <f t="shared" ref="E1411:E1474" si="68">IF(D1411&lt;=5,"NEWCOMER",IF(D1411&gt;10,"EXPERT"))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si="66"/>
        <v>Voluntary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67"/>
        <v>7</v>
      </c>
      <c r="E1412" s="6" t="b">
        <f t="shared" si="68"/>
        <v>0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ref="M1412:M1475" si="69">IF(OR(L1412="Resignation", L1412="Retirement"), "Voluntary", IF(L1412="Layoff", "Involuntary", "Other"))</f>
        <v>Involuntary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67"/>
        <v>18</v>
      </c>
      <c r="E1413" s="6" t="str">
        <f t="shared" si="68"/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69"/>
        <v>Voluntary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67"/>
        <v>17</v>
      </c>
      <c r="E1414" s="6" t="str">
        <f t="shared" si="68"/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69"/>
        <v>Voluntary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67"/>
        <v>6</v>
      </c>
      <c r="E1415" s="6" t="b">
        <f t="shared" si="68"/>
        <v>0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si="69"/>
        <v>Voluntary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67"/>
        <v>18</v>
      </c>
      <c r="E1416" s="6" t="str">
        <f t="shared" si="68"/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69"/>
        <v>Voluntary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67"/>
        <v>20</v>
      </c>
      <c r="E1417" s="6" t="str">
        <f t="shared" si="68"/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69"/>
        <v>Voluntary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67"/>
        <v>19</v>
      </c>
      <c r="E1418" s="6" t="str">
        <f t="shared" si="68"/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69"/>
        <v>Voluntary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67"/>
        <v>24</v>
      </c>
      <c r="E1419" s="6" t="str">
        <f t="shared" si="68"/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69"/>
        <v>Voluntary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67"/>
        <v>13</v>
      </c>
      <c r="E1420" s="6" t="str">
        <f t="shared" si="68"/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69"/>
        <v>Voluntary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67"/>
        <v>22</v>
      </c>
      <c r="E1421" s="6" t="str">
        <f t="shared" si="68"/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69"/>
        <v>Voluntary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67"/>
        <v>29</v>
      </c>
      <c r="E1422" s="6" t="str">
        <f t="shared" si="68"/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69"/>
        <v>Voluntary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67"/>
        <v>5</v>
      </c>
      <c r="E1423" s="6" t="str">
        <f t="shared" si="68"/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69"/>
        <v>Voluntary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67"/>
        <v>13</v>
      </c>
      <c r="E1424" s="6" t="str">
        <f t="shared" si="68"/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69"/>
        <v>Voluntary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67"/>
        <v>25</v>
      </c>
      <c r="E1425" s="6" t="str">
        <f t="shared" si="68"/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69"/>
        <v>Voluntary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67"/>
        <v>19</v>
      </c>
      <c r="E1426" s="6" t="str">
        <f t="shared" si="68"/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69"/>
        <v>Involuntary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67"/>
        <v>16</v>
      </c>
      <c r="E1427" s="6" t="str">
        <f t="shared" si="68"/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69"/>
        <v>Voluntary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67"/>
        <v>15</v>
      </c>
      <c r="E1428" s="6" t="str">
        <f t="shared" si="68"/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69"/>
        <v>Involuntary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67"/>
        <v>11</v>
      </c>
      <c r="E1429" s="6" t="str">
        <f t="shared" si="68"/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69"/>
        <v>Involuntary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67"/>
        <v>17</v>
      </c>
      <c r="E1430" s="6" t="str">
        <f t="shared" si="68"/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69"/>
        <v>Involuntary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67"/>
        <v>8</v>
      </c>
      <c r="E1431" s="6" t="b">
        <f t="shared" si="68"/>
        <v>0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69"/>
        <v>Voluntary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67"/>
        <v>11</v>
      </c>
      <c r="E1432" s="6" t="str">
        <f t="shared" si="68"/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69"/>
        <v>Involuntary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67"/>
        <v>14</v>
      </c>
      <c r="E1433" s="6" t="str">
        <f t="shared" si="68"/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69"/>
        <v>Involuntary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67"/>
        <v>26</v>
      </c>
      <c r="E1434" s="6" t="str">
        <f t="shared" si="68"/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69"/>
        <v>Involuntary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67"/>
        <v>9</v>
      </c>
      <c r="E1435" s="6" t="b">
        <f t="shared" si="68"/>
        <v>0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69"/>
        <v>Voluntary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67"/>
        <v>12</v>
      </c>
      <c r="E1436" s="6" t="str">
        <f t="shared" si="68"/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69"/>
        <v>Involuntary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67"/>
        <v>17</v>
      </c>
      <c r="E1437" s="6" t="str">
        <f t="shared" si="68"/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69"/>
        <v>Involuntary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67"/>
        <v>9</v>
      </c>
      <c r="E1438" s="6" t="b">
        <f t="shared" si="68"/>
        <v>0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69"/>
        <v>Involuntary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67"/>
        <v>25</v>
      </c>
      <c r="E1439" s="6" t="str">
        <f t="shared" si="68"/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69"/>
        <v>Voluntary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67"/>
        <v>29</v>
      </c>
      <c r="E1440" s="6" t="str">
        <f t="shared" si="68"/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69"/>
        <v>Voluntary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67"/>
        <v>23</v>
      </c>
      <c r="E1441" s="6" t="str">
        <f t="shared" si="68"/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69"/>
        <v>Voluntary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67"/>
        <v>10</v>
      </c>
      <c r="E1442" s="6" t="b">
        <f t="shared" si="68"/>
        <v>0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69"/>
        <v>Voluntary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67"/>
        <v>28</v>
      </c>
      <c r="E1443" s="6" t="str">
        <f t="shared" si="68"/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69"/>
        <v>Voluntary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67"/>
        <v>28</v>
      </c>
      <c r="E1444" s="6" t="str">
        <f t="shared" si="68"/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69"/>
        <v>Voluntary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67"/>
        <v>26</v>
      </c>
      <c r="E1445" s="6" t="str">
        <f t="shared" si="68"/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69"/>
        <v>Voluntary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67"/>
        <v>25</v>
      </c>
      <c r="E1446" s="6" t="str">
        <f t="shared" si="68"/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69"/>
        <v>Voluntary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67"/>
        <v>12</v>
      </c>
      <c r="E1447" s="6" t="str">
        <f t="shared" si="68"/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69"/>
        <v>Voluntary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67"/>
        <v>24</v>
      </c>
      <c r="E1448" s="6" t="str">
        <f t="shared" si="68"/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69"/>
        <v>Voluntary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67"/>
        <v>21</v>
      </c>
      <c r="E1449" s="6" t="str">
        <f t="shared" si="68"/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69"/>
        <v>Voluntary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67"/>
        <v>13</v>
      </c>
      <c r="E1450" s="6" t="str">
        <f t="shared" si="68"/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69"/>
        <v>Voluntary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67"/>
        <v>17</v>
      </c>
      <c r="E1451" s="6" t="str">
        <f t="shared" si="68"/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69"/>
        <v>Voluntary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67"/>
        <v>11</v>
      </c>
      <c r="E1452" s="6" t="str">
        <f t="shared" si="68"/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69"/>
        <v>Voluntary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67"/>
        <v>14</v>
      </c>
      <c r="E1453" s="6" t="str">
        <f t="shared" si="68"/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69"/>
        <v>Voluntary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67"/>
        <v>21</v>
      </c>
      <c r="E1454" s="6" t="str">
        <f t="shared" si="68"/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69"/>
        <v>Voluntary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67"/>
        <v>14</v>
      </c>
      <c r="E1455" s="6" t="str">
        <f t="shared" si="68"/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69"/>
        <v>Voluntary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67"/>
        <v>21</v>
      </c>
      <c r="E1456" s="6" t="str">
        <f t="shared" si="68"/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69"/>
        <v>Voluntary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67"/>
        <v>26</v>
      </c>
      <c r="E1457" s="6" t="str">
        <f t="shared" si="68"/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69"/>
        <v>Voluntary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67"/>
        <v>7</v>
      </c>
      <c r="E1458" s="6" t="b">
        <f t="shared" si="68"/>
        <v>0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69"/>
        <v>Voluntary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67"/>
        <v>29</v>
      </c>
      <c r="E1459" s="6" t="str">
        <f t="shared" si="68"/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69"/>
        <v>Voluntary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67"/>
        <v>6</v>
      </c>
      <c r="E1460" s="6" t="b">
        <f t="shared" si="68"/>
        <v>0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69"/>
        <v>Voluntary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67"/>
        <v>6</v>
      </c>
      <c r="E1461" s="6" t="b">
        <f t="shared" si="68"/>
        <v>0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69"/>
        <v>Voluntary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67"/>
        <v>30</v>
      </c>
      <c r="E1462" s="6" t="str">
        <f t="shared" si="68"/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69"/>
        <v>Voluntary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67"/>
        <v>30</v>
      </c>
      <c r="E1463" s="6" t="str">
        <f t="shared" si="68"/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69"/>
        <v>Voluntary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67"/>
        <v>30</v>
      </c>
      <c r="E1464" s="6" t="str">
        <f t="shared" si="68"/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69"/>
        <v>Voluntary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67"/>
        <v>6</v>
      </c>
      <c r="E1465" s="6" t="b">
        <f t="shared" si="68"/>
        <v>0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69"/>
        <v>Voluntary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67"/>
        <v>24</v>
      </c>
      <c r="E1466" s="6" t="str">
        <f t="shared" si="68"/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69"/>
        <v>Voluntary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67"/>
        <v>14</v>
      </c>
      <c r="E1467" s="6" t="str">
        <f t="shared" si="68"/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69"/>
        <v>Voluntary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67"/>
        <v>26</v>
      </c>
      <c r="E1468" s="6" t="str">
        <f t="shared" si="68"/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69"/>
        <v>Involuntary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67"/>
        <v>26</v>
      </c>
      <c r="E1469" s="6" t="str">
        <f t="shared" si="68"/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69"/>
        <v>Voluntary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67"/>
        <v>27</v>
      </c>
      <c r="E1470" s="6" t="str">
        <f t="shared" si="68"/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69"/>
        <v>Voluntary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67"/>
        <v>23</v>
      </c>
      <c r="E1471" s="6" t="str">
        <f t="shared" si="68"/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69"/>
        <v>Voluntary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67"/>
        <v>17</v>
      </c>
      <c r="E1472" s="6" t="str">
        <f t="shared" si="68"/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69"/>
        <v>Voluntary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67"/>
        <v>6</v>
      </c>
      <c r="E1473" s="6" t="b">
        <f t="shared" si="68"/>
        <v>0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69"/>
        <v>Voluntary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67"/>
        <v>26</v>
      </c>
      <c r="E1474" s="6" t="str">
        <f t="shared" si="68"/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69"/>
        <v>Voluntary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70">YEAR(C1475)-YEAR(B1475)</f>
        <v>8</v>
      </c>
      <c r="E1475" s="6" t="b">
        <f t="shared" ref="E1475:E1486" si="71">IF(D1475&lt;=5,"NEWCOMER",IF(D1475&gt;10,"EXPERT"))</f>
        <v>0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si="69"/>
        <v>Voluntary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70"/>
        <v>13</v>
      </c>
      <c r="E1476" s="6" t="str">
        <f t="shared" si="71"/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ref="M1476:M1486" si="72">IF(OR(L1476="Resignation", L1476="Retirement"), "Voluntary", IF(L1476="Layoff", "Involuntary", "Other"))</f>
        <v>Voluntary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70"/>
        <v>18</v>
      </c>
      <c r="E1477" s="6" t="str">
        <f t="shared" si="71"/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72"/>
        <v>Voluntary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70"/>
        <v>30</v>
      </c>
      <c r="E1478" s="6" t="str">
        <f t="shared" si="71"/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72"/>
        <v>Involuntary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70"/>
        <v>30</v>
      </c>
      <c r="E1479" s="6" t="str">
        <f t="shared" si="71"/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si="72"/>
        <v>Voluntary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70"/>
        <v>19</v>
      </c>
      <c r="E1480" s="6" t="str">
        <f t="shared" si="71"/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72"/>
        <v>Voluntary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70"/>
        <v>7</v>
      </c>
      <c r="E1481" s="6" t="b">
        <f t="shared" si="71"/>
        <v>0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72"/>
        <v>Involuntary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70"/>
        <v>20</v>
      </c>
      <c r="E1482" s="6" t="str">
        <f t="shared" si="71"/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72"/>
        <v>Involuntary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70"/>
        <v>26</v>
      </c>
      <c r="E1483" s="6" t="str">
        <f t="shared" si="71"/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72"/>
        <v>Voluntary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70"/>
        <v>25</v>
      </c>
      <c r="E1484" s="6" t="str">
        <f t="shared" si="71"/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72"/>
        <v>Involuntary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70"/>
        <v>25</v>
      </c>
      <c r="E1485" s="6" t="str">
        <f t="shared" si="71"/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72"/>
        <v>Voluntary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70"/>
        <v>19</v>
      </c>
      <c r="E1486" s="6" t="str">
        <f t="shared" si="71"/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72"/>
        <v>Involuntary</v>
      </c>
      <c r="N1486" s="4" t="s">
        <v>26</v>
      </c>
    </row>
  </sheetData>
  <autoFilter ref="A1:N148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Kanhaiya Bhor</cp:lastModifiedBy>
  <dcterms:created xsi:type="dcterms:W3CDTF">2022-04-06T06:28:55Z</dcterms:created>
  <dcterms:modified xsi:type="dcterms:W3CDTF">2025-11-30T10:16:43Z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